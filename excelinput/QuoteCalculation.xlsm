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WebDev\Herd\laravel-claude\excelinput\"/>
    </mc:Choice>
  </mc:AlternateContent>
  <xr:revisionPtr revIDLastSave="0" documentId="13_ncr:1_{B0FEB000-FD51-421D-B6FD-5A9B4A37FAD8}" xr6:coauthVersionLast="47" xr6:coauthVersionMax="47" xr10:uidLastSave="{00000000-0000-0000-0000-000000000000}"/>
  <bookViews>
    <workbookView xWindow="2070" yWindow="-16635" windowWidth="21600" windowHeight="13170" xr2:uid="{00000000-000D-0000-FFFF-FFFF00000000}"/>
  </bookViews>
  <sheets>
    <sheet name="Netcage" sheetId="1" r:id="rId1"/>
    <sheet name="FX_Rates" sheetId="2" r:id="rId2"/>
    <sheet name="GP_Budgets" sheetId="3" r:id="rId3"/>
    <sheet name="Duties" sheetId="4" r:id="rId4"/>
    <sheet name="Lists" sheetId="5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0" i="1" l="1"/>
  <c r="H108" i="1"/>
  <c r="H92" i="1"/>
  <c r="H89" i="1"/>
  <c r="I88" i="1"/>
  <c r="D18" i="1" s="1"/>
  <c r="H84" i="1"/>
  <c r="I82" i="1"/>
  <c r="I81" i="1"/>
  <c r="H79" i="1"/>
  <c r="H78" i="1"/>
  <c r="H76" i="1"/>
  <c r="I74" i="1"/>
  <c r="I73" i="1"/>
  <c r="H70" i="1"/>
  <c r="I68" i="1"/>
  <c r="I67" i="1"/>
  <c r="I66" i="1"/>
  <c r="I64" i="1"/>
  <c r="I63" i="1"/>
  <c r="I62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0" i="1"/>
  <c r="D6" i="1"/>
  <c r="D5" i="1"/>
  <c r="D4" i="1"/>
  <c r="D3" i="1"/>
  <c r="D2" i="1"/>
  <c r="I70" i="1" l="1"/>
  <c r="I76" i="1" s="1"/>
  <c r="I78" i="1" s="1"/>
  <c r="L78" i="1" l="1"/>
  <c r="L79" i="1"/>
  <c r="I79" i="1"/>
  <c r="I84" i="1" s="1"/>
  <c r="I89" i="1" l="1"/>
  <c r="D19" i="1"/>
  <c r="L88" i="1"/>
  <c r="M88" i="1" s="1"/>
  <c r="D20" i="1" l="1"/>
  <c r="I92" i="1"/>
  <c r="I90" i="1"/>
  <c r="D21" i="1" s="1"/>
  <c r="I93" i="1" l="1"/>
  <c r="D23" i="1" s="1"/>
  <c r="D22" i="1"/>
</calcChain>
</file>

<file path=xl/sharedStrings.xml><?xml version="1.0" encoding="utf-8"?>
<sst xmlns="http://schemas.openxmlformats.org/spreadsheetml/2006/main" count="354" uniqueCount="230">
  <si>
    <t>Status</t>
  </si>
  <si>
    <t>Ready for Calculation</t>
  </si>
  <si>
    <t>Check</t>
  </si>
  <si>
    <t>Calculation Complete</t>
  </si>
  <si>
    <t>Proposed Sales Price and Terms Complete</t>
  </si>
  <si>
    <t>Market Price Approved</t>
  </si>
  <si>
    <t>Customer Confirmation</t>
  </si>
  <si>
    <t>Open</t>
  </si>
  <si>
    <t>Calculation &amp; Offer Sheet</t>
  </si>
  <si>
    <t>Customer Name:</t>
  </si>
  <si>
    <t>COLOUR GUIDE</t>
  </si>
  <si>
    <t>Netlog Number:</t>
  </si>
  <si>
    <t xml:space="preserve">  Pink / Salmon</t>
  </si>
  <si>
    <t>Enter values manually (costs, qty, price)</t>
  </si>
  <si>
    <t>Net Type:</t>
  </si>
  <si>
    <t xml:space="preserve">  Yellow / Amber</t>
  </si>
  <si>
    <t>Select currency / dropdown choices</t>
  </si>
  <si>
    <t>Material:</t>
  </si>
  <si>
    <t xml:space="preserve">  Light Green</t>
  </si>
  <si>
    <t>Auto-calculated — do not edit directly</t>
  </si>
  <si>
    <t>Number of Units:</t>
  </si>
  <si>
    <t xml:space="preserve">  Medium Green</t>
  </si>
  <si>
    <t>Sub-total / total rows</t>
  </si>
  <si>
    <t>Size:</t>
  </si>
  <si>
    <t xml:space="preserve">  Teal / Aqua</t>
  </si>
  <si>
    <t>ELDI accent — dynamic master currency label</t>
  </si>
  <si>
    <t>Sales Region:</t>
  </si>
  <si>
    <t>Norway</t>
  </si>
  <si>
    <t>HOW TO USE</t>
  </si>
  <si>
    <t>Factory:</t>
  </si>
  <si>
    <t>Plunge - Lithuania</t>
  </si>
  <si>
    <t>1</t>
  </si>
  <si>
    <t>Fill PINK cells with costs, quantities, and descriptions.</t>
  </si>
  <si>
    <t>Currency:</t>
  </si>
  <si>
    <t>EUR</t>
  </si>
  <si>
    <t>2</t>
  </si>
  <si>
    <t>Set YELLOW dropdowns: currency (col H), inco terms, factory, region.</t>
  </si>
  <si>
    <t>Inco Terms:</t>
  </si>
  <si>
    <t>3</t>
  </si>
  <si>
    <t>Choose master currency in D16 — col I recalculates to that currency.</t>
  </si>
  <si>
    <t>Sales Price</t>
  </si>
  <si>
    <t>4</t>
  </si>
  <si>
    <t>Set B25 to 'Frozen' to lock exchange rates for the final price offer.</t>
  </si>
  <si>
    <t>Total COGS Delivered</t>
  </si>
  <si>
    <t>5</t>
  </si>
  <si>
    <t>Use status bar (rows 2-6) to track offer progress and log the result.</t>
  </si>
  <si>
    <t>GP Amount</t>
  </si>
  <si>
    <t>6</t>
  </si>
  <si>
    <t>Run python log_erko.py to append this offer to the central Offer Log.</t>
  </si>
  <si>
    <t>GP %</t>
  </si>
  <si>
    <t>Combined GP</t>
  </si>
  <si>
    <t>Combined GP %</t>
  </si>
  <si>
    <t>LOG THIS OFFER</t>
  </si>
  <si>
    <t>Run: python log_erko.py</t>
  </si>
  <si>
    <t>Description</t>
  </si>
  <si>
    <t>Qty</t>
  </si>
  <si>
    <t>Unit</t>
  </si>
  <si>
    <t>Unit Cost</t>
  </si>
  <si>
    <t>Currency</t>
  </si>
  <si>
    <t>No</t>
  </si>
  <si>
    <t xml:space="preserve">Bill of material </t>
  </si>
  <si>
    <t>CURRENCY</t>
  </si>
  <si>
    <t>COST</t>
  </si>
  <si>
    <t>Comments</t>
  </si>
  <si>
    <t>Netting Nylon 210/96 18,0mm-1008 MESH R, NO.32UK</t>
  </si>
  <si>
    <t>kg</t>
  </si>
  <si>
    <t xml:space="preserve">LEAD ROPE 1,0 kg/m inside braided cover of PES </t>
  </si>
  <si>
    <t>Danline Rope MB 18mm x220m DEADFISH ELEVATOR TY8-Strand/3 Twist</t>
  </si>
  <si>
    <t>m</t>
  </si>
  <si>
    <t>Danline Protech Rope 20mm 3 Strand</t>
  </si>
  <si>
    <t xml:space="preserve">Danline Protech Rope 24mm, 3 -str </t>
  </si>
  <si>
    <t xml:space="preserve">Danline Protech Rope 10mm 3-str/3 twist </t>
  </si>
  <si>
    <t>Plastic Hose Green</t>
  </si>
  <si>
    <t>Plastic Hose Red</t>
  </si>
  <si>
    <t>Flexiloop WLL:2t/MBL:14t  0.5m/1m double cover</t>
  </si>
  <si>
    <t>pcs</t>
  </si>
  <si>
    <t>WING RING J 10 S</t>
  </si>
  <si>
    <t>Flexiloop ROUNDSLING CENTRE OF CONED NET 4X4T 1M/2M WITH COVER</t>
  </si>
  <si>
    <t>FLEXILOOP WLL:8t/MBL:56t  1m/2m</t>
  </si>
  <si>
    <t>Flexiloop WLL:3t/MBL:21t  0.5m/1m</t>
  </si>
  <si>
    <t>FLEXILOOP ROUNDSLING WLL:4t/MBL:28t  2.5m/5m</t>
  </si>
  <si>
    <t>FLEXILOOP ROUNDSLING  WLL:3t/MBL:21t  1m/2m</t>
  </si>
  <si>
    <t>STEEL RING DOUBLE 330mm Ø, MBL 5t</t>
  </si>
  <si>
    <t>NET ID</t>
  </si>
  <si>
    <t>PALLET 2,4x2 M</t>
  </si>
  <si>
    <t xml:space="preserve">BIG BAG240 X 200 X 295 WLL 8T </t>
  </si>
  <si>
    <t>Thread VEGA SUPER 6M DP (1box=25pcs)</t>
  </si>
  <si>
    <t>1,8mm NYLON BRAIDED WHITE, 1 Kg COILS, 1 BAG of 25 COILS</t>
  </si>
  <si>
    <t>NYLON-THREAD NO.12 BLACK BIG COILS, 1,8kg COILS , 500kg per BOX</t>
  </si>
  <si>
    <t>THREAD 10T  TEX 270 WHITE</t>
  </si>
  <si>
    <t>Thread 10T TEX 270 RED</t>
  </si>
  <si>
    <t>1,3mm NYLON BRAIDED WHITE, 1 Kg COILS, 1 BAG of 25 COILS (treated)</t>
  </si>
  <si>
    <t>Pastiprinimas juosta kilpoms 120mm/ruda</t>
  </si>
  <si>
    <t>FREIGHTS  (Ingoing &amp; Internal)</t>
  </si>
  <si>
    <t xml:space="preserve">Total Material and internal Freight Cost </t>
  </si>
  <si>
    <t>Production assembly Cost</t>
  </si>
  <si>
    <t>Direct Hrs</t>
  </si>
  <si>
    <t>Direct rate</t>
  </si>
  <si>
    <t>Benchmark Hrs</t>
  </si>
  <si>
    <t>Direct Production Cost (Cogs Exw Prod Unit):</t>
  </si>
  <si>
    <t>Gross Profit for Production Unit:</t>
  </si>
  <si>
    <t xml:space="preserve">GP% :  </t>
  </si>
  <si>
    <t>Rate with calculated hrs</t>
  </si>
  <si>
    <t>Production Price incl. GP:</t>
  </si>
  <si>
    <t xml:space="preserve">Rate with Standad hrs </t>
  </si>
  <si>
    <t>Freight cost to end customer</t>
  </si>
  <si>
    <t>Supervision / Quality control if applicable</t>
  </si>
  <si>
    <t>Total Price from production unit</t>
  </si>
  <si>
    <t>MARKET VIEW &amp; GROSS PROFIT</t>
  </si>
  <si>
    <t>Sales Price:</t>
  </si>
  <si>
    <t xml:space="preserve">Budget Price </t>
  </si>
  <si>
    <t>Budget Price:</t>
  </si>
  <si>
    <t>GP % margin in selling unit</t>
  </si>
  <si>
    <t>Combined GP Amount</t>
  </si>
  <si>
    <t>DELIVERY AND SHIPMENT PLAN</t>
  </si>
  <si>
    <t>Selections</t>
  </si>
  <si>
    <t>First Net Completed After:</t>
  </si>
  <si>
    <t>WK 3</t>
  </si>
  <si>
    <t>Last Net Completed:</t>
  </si>
  <si>
    <t>WK 6</t>
  </si>
  <si>
    <t>Nets per Truck / Container:</t>
  </si>
  <si>
    <t>Transit Time (weeks):</t>
  </si>
  <si>
    <t>2 weeks</t>
  </si>
  <si>
    <t>Est. Week of Delivery:</t>
  </si>
  <si>
    <t>WK 18</t>
  </si>
  <si>
    <t>Delivery Year:</t>
  </si>
  <si>
    <t>Deliver to Country:</t>
  </si>
  <si>
    <t>Delivery Address:</t>
  </si>
  <si>
    <t>Total Net Weight (kg):</t>
  </si>
  <si>
    <t>Weight of Netting (kg):</t>
  </si>
  <si>
    <t>Estimated Duties:</t>
  </si>
  <si>
    <t>Live Rate (1 EUR=)</t>
  </si>
  <si>
    <t>Frozen Rate (1 EUR=)</t>
  </si>
  <si>
    <t>Info</t>
  </si>
  <si>
    <t>Value</t>
  </si>
  <si>
    <t>Live Updated</t>
  </si>
  <si>
    <t>2026-04-24 06:47</t>
  </si>
  <si>
    <t>USD</t>
  </si>
  <si>
    <t>Frozen Date</t>
  </si>
  <si>
    <t>Not frozen</t>
  </si>
  <si>
    <t>GBP</t>
  </si>
  <si>
    <t>NOK</t>
  </si>
  <si>
    <t>DKK</t>
  </si>
  <si>
    <t>SEK</t>
  </si>
  <si>
    <t>CHF</t>
  </si>
  <si>
    <t>JPY</t>
  </si>
  <si>
    <t>CNY</t>
  </si>
  <si>
    <t>AUD</t>
  </si>
  <si>
    <t>CAD</t>
  </si>
  <si>
    <t>Sales Region</t>
  </si>
  <si>
    <t>GP Target</t>
  </si>
  <si>
    <t>Scotland &amp; UK</t>
  </si>
  <si>
    <t>Faroes</t>
  </si>
  <si>
    <t>Iceland</t>
  </si>
  <si>
    <t>Norway Refa</t>
  </si>
  <si>
    <t>Canada</t>
  </si>
  <si>
    <t>South Europe and North Africa</t>
  </si>
  <si>
    <t>Baltic and Caspian sea</t>
  </si>
  <si>
    <t>Australia - Far east</t>
  </si>
  <si>
    <t>Saudi - Oman</t>
  </si>
  <si>
    <t>Other</t>
  </si>
  <si>
    <t>Factory \ Sales Region</t>
  </si>
  <si>
    <t>Aurangabad - India</t>
  </si>
  <si>
    <t>Siauliai - Lithuania</t>
  </si>
  <si>
    <t>Amposta - Spain</t>
  </si>
  <si>
    <t>Hildre - Norway</t>
  </si>
  <si>
    <t>Legend: Green=No Duties (0%), Amber=Needs Verification, Red=Duties Apply (%)</t>
  </si>
  <si>
    <t>Enter decimal (e.g. 0.037 = 3.7%) or leave as Check.</t>
  </si>
  <si>
    <t>WK 1</t>
  </si>
  <si>
    <t>WK 2</t>
  </si>
  <si>
    <t>Scotland/UK</t>
  </si>
  <si>
    <t>Faroe Islands</t>
  </si>
  <si>
    <t>WK 4</t>
  </si>
  <si>
    <t>WK 5</t>
  </si>
  <si>
    <t>Chile</t>
  </si>
  <si>
    <t>WK 7</t>
  </si>
  <si>
    <t>Spain</t>
  </si>
  <si>
    <t>WK 8</t>
  </si>
  <si>
    <t>France</t>
  </si>
  <si>
    <t>WK 9</t>
  </si>
  <si>
    <t>Denmark</t>
  </si>
  <si>
    <t>WK 10</t>
  </si>
  <si>
    <t>Ireland</t>
  </si>
  <si>
    <t>WK 11</t>
  </si>
  <si>
    <t>Australia</t>
  </si>
  <si>
    <t>WK 12</t>
  </si>
  <si>
    <t>Japan</t>
  </si>
  <si>
    <t>WK 13</t>
  </si>
  <si>
    <t>China</t>
  </si>
  <si>
    <t>WK 14</t>
  </si>
  <si>
    <t>Saudi Arabia</t>
  </si>
  <si>
    <t>WK 15</t>
  </si>
  <si>
    <t>Oman</t>
  </si>
  <si>
    <t>WK 16</t>
  </si>
  <si>
    <t>WK 17</t>
  </si>
  <si>
    <t>WK 19</t>
  </si>
  <si>
    <t>WK 20</t>
  </si>
  <si>
    <t>WK 21</t>
  </si>
  <si>
    <t>WK 22</t>
  </si>
  <si>
    <t>WK 23</t>
  </si>
  <si>
    <t>WK 24</t>
  </si>
  <si>
    <t>WK 25</t>
  </si>
  <si>
    <t>WK 26</t>
  </si>
  <si>
    <t>WK 27</t>
  </si>
  <si>
    <t>WK 28</t>
  </si>
  <si>
    <t>WK 29</t>
  </si>
  <si>
    <t>WK 30</t>
  </si>
  <si>
    <t>WK 31</t>
  </si>
  <si>
    <t>WK 32</t>
  </si>
  <si>
    <t>WK 33</t>
  </si>
  <si>
    <t>WK 34</t>
  </si>
  <si>
    <t>WK 35</t>
  </si>
  <si>
    <t>WK 36</t>
  </si>
  <si>
    <t>WK 37</t>
  </si>
  <si>
    <t>WK 38</t>
  </si>
  <si>
    <t>WK 39</t>
  </si>
  <si>
    <t>WK 40</t>
  </si>
  <si>
    <t>WK 41</t>
  </si>
  <si>
    <t>WK 42</t>
  </si>
  <si>
    <t>WK 43</t>
  </si>
  <si>
    <t>WK 44</t>
  </si>
  <si>
    <t>WK 45</t>
  </si>
  <si>
    <t>WK 46</t>
  </si>
  <si>
    <t>WK 47</t>
  </si>
  <si>
    <t>WK 48</t>
  </si>
  <si>
    <t>WK 49</t>
  </si>
  <si>
    <t>WK 50</t>
  </si>
  <si>
    <t>WK 51</t>
  </si>
  <si>
    <t>WK 52</t>
  </si>
  <si>
    <t>Under 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</si>
</sst>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_-;\-* #,##0.00_-;_-* &quot;-&quot;??_-;_-@_-"/>
    <numFmt numFmtId="165" formatCode="_-* #,##0_-;\-* #,##0_-;_-* &quot;-&quot;??_-;_-@_-"/>
    <numFmt numFmtId="166" formatCode="0.0"/>
    <numFmt numFmtId="167" formatCode="0.0%"/>
    <numFmt numFmtId="168" formatCode="0.0\ %"/>
    <numFmt numFmtId="169" formatCode="yyyy\-mm\-dd"/>
  </numFmts>
  <fonts count="3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1"/>
      <name val="Aptos Narrow"/>
      <family val="2"/>
    </font>
    <font>
      <b/>
      <sz val="11"/>
      <color rgb="FFFFFFFF"/>
      <name val="Aptos Narrow"/>
      <family val="2"/>
    </font>
    <font>
      <i/>
      <sz val="11"/>
      <color rgb="FF595959"/>
      <name val="Aptos Narrow"/>
      <family val="2"/>
    </font>
    <font>
      <b/>
      <sz val="11"/>
      <color rgb="FFFFFFFF"/>
      <name val="Calibri"/>
      <family val="2"/>
    </font>
    <font>
      <b/>
      <sz val="9"/>
      <color rgb="FF1F3864"/>
      <name val="Calibri"/>
      <family val="2"/>
    </font>
    <font>
      <b/>
      <sz val="10"/>
      <color rgb="FF1A1A1A"/>
      <name val="Calibri"/>
      <family val="2"/>
    </font>
    <font>
      <sz val="9"/>
      <color rgb="FF595959"/>
      <name val="Calibri"/>
      <family val="2"/>
    </font>
    <font>
      <b/>
      <sz val="9"/>
      <color rgb="FF1A1A1A"/>
      <name val="Calibri"/>
      <family val="2"/>
    </font>
    <font>
      <b/>
      <sz val="13"/>
      <color rgb="FFFFFFFF"/>
      <name val="Calibri"/>
      <family val="2"/>
    </font>
    <font>
      <sz val="11"/>
      <color rgb="FF1A1A1A"/>
      <name val="Calibri"/>
      <family val="2"/>
    </font>
    <font>
      <b/>
      <sz val="9"/>
      <color rgb="FF2E75B6"/>
      <name val="Calibri"/>
      <family val="2"/>
    </font>
    <font>
      <sz val="10"/>
      <color rgb="FF1A1A1A"/>
      <name val="Calibri"/>
      <family val="2"/>
    </font>
    <font>
      <sz val="9"/>
      <color rgb="FF2E75B6"/>
      <name val="Calibri"/>
      <family val="2"/>
    </font>
    <font>
      <b/>
      <sz val="9"/>
      <color rgb="FFFFFFFF"/>
      <name val="Calibri"/>
      <family val="2"/>
    </font>
    <font>
      <sz val="9"/>
      <color rgb="FF808080"/>
      <name val="Calibri"/>
      <family val="2"/>
    </font>
    <font>
      <sz val="9"/>
      <color rgb="FF1A1A1A"/>
      <name val="Calibri"/>
      <family val="2"/>
    </font>
    <font>
      <b/>
      <sz val="8"/>
      <color rgb="FF2E75B6"/>
      <name val="Calibri"/>
      <family val="2"/>
    </font>
    <font>
      <sz val="8"/>
      <color rgb="FF1A1A1A"/>
      <name val="Calibri"/>
      <family val="2"/>
    </font>
    <font>
      <b/>
      <sz val="9"/>
      <color rgb="FFCC0000"/>
      <name val="Calibri"/>
      <family val="2"/>
    </font>
    <font>
      <b/>
      <sz val="8"/>
      <color rgb="FF1F3864"/>
      <name val="Calibri"/>
      <family val="2"/>
    </font>
    <font>
      <sz val="8"/>
      <color rgb="FF404040"/>
      <name val="Calibri"/>
      <family val="2"/>
    </font>
    <font>
      <sz val="11"/>
      <color theme="0"/>
      <name val="Aptos Narrow"/>
      <family val="2"/>
      <scheme val="minor"/>
    </font>
    <font>
      <b/>
      <sz val="9"/>
      <color theme="0"/>
      <name val="Calibri"/>
      <family val="2"/>
    </font>
    <font>
      <sz val="11"/>
      <color theme="3" tint="0.249977111117893"/>
      <name val="Aptos Narrow"/>
      <family val="2"/>
      <scheme val="minor"/>
    </font>
    <font>
      <b/>
      <sz val="10"/>
      <color rgb="FFFFFFFF"/>
      <name val="Calibri"/>
      <family val="2"/>
    </font>
    <font>
      <i/>
      <sz val="9"/>
      <color rgb="FF404040"/>
      <name val="Calibri"/>
      <family val="2"/>
    </font>
    <font>
      <sz val="9"/>
      <color theme="1"/>
      <name val="Aptos Narrow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F3864"/>
        <bgColor rgb="FF1F3864"/>
      </patternFill>
    </fill>
    <fill>
      <patternFill patternType="solid">
        <fgColor rgb="FFC6EFCE"/>
        <bgColor rgb="FFC6EFCE"/>
      </patternFill>
    </fill>
    <fill>
      <patternFill patternType="solid">
        <fgColor rgb="FFFFEB9C"/>
        <bgColor rgb="FFFFEB9C"/>
      </patternFill>
    </fill>
    <fill>
      <patternFill patternType="solid">
        <fgColor rgb="FFF2F2F2"/>
        <bgColor rgb="FFF2F2F2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4BACC6"/>
        <bgColor rgb="FF4BACC6"/>
      </patternFill>
    </fill>
    <fill>
      <patternFill patternType="solid">
        <fgColor rgb="FFFCE4D6"/>
        <bgColor rgb="FFFCE4D6"/>
      </patternFill>
    </fill>
    <fill>
      <patternFill patternType="solid">
        <fgColor rgb="FFBDD7EE"/>
        <bgColor rgb="FFBDD7EE"/>
      </patternFill>
    </fill>
    <fill>
      <patternFill patternType="solid">
        <fgColor rgb="FFE8F4F8"/>
        <bgColor rgb="FFE8F4F8"/>
      </patternFill>
    </fill>
    <fill>
      <patternFill patternType="solid">
        <fgColor rgb="FFEEF3F8"/>
        <bgColor rgb="FFEEF3F8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DEEAF1"/>
      </patternFill>
    </fill>
    <fill>
      <patternFill patternType="solid">
        <fgColor theme="0"/>
        <bgColor rgb="FFE2EFDA"/>
      </patternFill>
    </fill>
    <fill>
      <patternFill patternType="solid">
        <fgColor theme="0"/>
        <bgColor rgb="FFEEF3F8"/>
      </patternFill>
    </fill>
    <fill>
      <patternFill patternType="solid">
        <fgColor theme="0"/>
        <bgColor rgb="FF2E75B6"/>
      </patternFill>
    </fill>
    <fill>
      <patternFill patternType="solid">
        <fgColor theme="0"/>
        <bgColor rgb="FF1F3864"/>
      </patternFill>
    </fill>
    <fill>
      <patternFill patternType="solid">
        <fgColor rgb="FFFFFFFF"/>
        <bgColor rgb="FFFFFFFF"/>
      </patternFill>
    </fill>
    <fill>
      <patternFill patternType="solid">
        <fgColor rgb="FF2E75B6"/>
        <bgColor rgb="FF2E75B6"/>
      </patternFill>
    </fill>
    <fill>
      <patternFill patternType="solid">
        <fgColor rgb="FFDEEAF1"/>
        <bgColor rgb="FFDEEAF1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22"/>
    <xf numFmtId="9" fontId="1" fillId="0" borderId="22"/>
    <xf numFmtId="164" fontId="1" fillId="0" borderId="22"/>
  </cellStyleXfs>
  <cellXfs count="239">
    <xf numFmtId="0" fontId="0" fillId="0" borderId="0" xfId="0" applyBorder="1"/>
    <xf numFmtId="0" fontId="0" fillId="2" borderId="0" xfId="0" applyFill="1" applyBorder="1"/>
    <xf numFmtId="0" fontId="19" fillId="3" borderId="28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7" fillId="10" borderId="17" xfId="0" applyFont="1" applyFill="1" applyBorder="1" applyAlignment="1" applyProtection="1">
      <alignment horizontal="left" vertical="center"/>
      <protection locked="0"/>
    </xf>
    <xf numFmtId="3" fontId="11" fillId="4" borderId="21" xfId="2" applyNumberFormat="1" applyFont="1" applyFill="1" applyBorder="1" applyAlignment="1">
      <alignment horizontal="right" vertical="center"/>
    </xf>
    <xf numFmtId="3" fontId="17" fillId="8" borderId="19" xfId="1" applyNumberFormat="1" applyFont="1" applyFill="1" applyBorder="1" applyAlignment="1">
      <alignment horizontal="right" vertical="center"/>
    </xf>
    <xf numFmtId="3" fontId="11" fillId="4" borderId="23" xfId="2" applyNumberFormat="1" applyFont="1" applyFill="1" applyBorder="1" applyAlignment="1">
      <alignment horizontal="center" vertical="center"/>
    </xf>
    <xf numFmtId="3" fontId="11" fillId="4" borderId="24" xfId="2" applyNumberFormat="1" applyFont="1" applyFill="1" applyBorder="1" applyAlignment="1">
      <alignment horizontal="right" vertical="center"/>
    </xf>
    <xf numFmtId="3" fontId="11" fillId="4" borderId="23" xfId="0" applyNumberFormat="1" applyFont="1" applyFill="1" applyBorder="1" applyAlignment="1">
      <alignment horizontal="center" vertical="center"/>
    </xf>
    <xf numFmtId="3" fontId="11" fillId="4" borderId="24" xfId="0" applyNumberFormat="1" applyFont="1" applyFill="1" applyBorder="1" applyAlignment="1">
      <alignment horizontal="right" vertical="center"/>
    </xf>
    <xf numFmtId="3" fontId="11" fillId="8" borderId="25" xfId="0" applyNumberFormat="1" applyFont="1" applyFill="1" applyBorder="1" applyAlignment="1">
      <alignment horizontal="right" vertical="center"/>
    </xf>
    <xf numFmtId="0" fontId="0" fillId="14" borderId="22" xfId="0" applyFill="1"/>
    <xf numFmtId="0" fontId="15" fillId="10" borderId="24" xfId="0" applyFont="1" applyFill="1" applyBorder="1" applyAlignment="1" applyProtection="1">
      <alignment horizontal="left" vertical="center"/>
      <protection locked="0"/>
    </xf>
    <xf numFmtId="0" fontId="17" fillId="10" borderId="21" xfId="0" applyFont="1" applyFill="1" applyBorder="1" applyAlignment="1" applyProtection="1">
      <alignment horizontal="left" vertical="center"/>
      <protection locked="0"/>
    </xf>
    <xf numFmtId="0" fontId="17" fillId="10" borderId="19" xfId="0" applyFont="1" applyFill="1" applyBorder="1" applyAlignment="1" applyProtection="1">
      <alignment horizontal="left" vertical="center"/>
      <protection locked="0"/>
    </xf>
    <xf numFmtId="0" fontId="17" fillId="7" borderId="19" xfId="0" applyFont="1" applyFill="1" applyBorder="1" applyAlignment="1" applyProtection="1">
      <alignment horizontal="left" vertical="center"/>
      <protection locked="0"/>
    </xf>
    <xf numFmtId="165" fontId="11" fillId="7" borderId="21" xfId="2" applyNumberFormat="1" applyFont="1" applyFill="1" applyBorder="1" applyAlignment="1" applyProtection="1">
      <alignment horizontal="left" vertical="center"/>
      <protection locked="0"/>
    </xf>
    <xf numFmtId="165" fontId="11" fillId="7" borderId="19" xfId="2" applyNumberFormat="1" applyFont="1" applyFill="1" applyBorder="1" applyAlignment="1" applyProtection="1">
      <alignment horizontal="left" vertical="center"/>
      <protection locked="0"/>
    </xf>
    <xf numFmtId="9" fontId="11" fillId="7" borderId="17" xfId="1" applyFont="1" applyFill="1" applyBorder="1" applyAlignment="1" applyProtection="1">
      <alignment horizontal="left" vertical="center"/>
      <protection locked="0"/>
    </xf>
    <xf numFmtId="167" fontId="17" fillId="8" borderId="19" xfId="1" applyNumberFormat="1" applyFont="1" applyFill="1" applyBorder="1" applyAlignment="1">
      <alignment horizontal="right" vertical="center"/>
    </xf>
    <xf numFmtId="3" fontId="11" fillId="4" borderId="19" xfId="1" applyNumberFormat="1" applyFont="1" applyFill="1" applyBorder="1" applyAlignment="1">
      <alignment horizontal="right" vertical="center"/>
    </xf>
    <xf numFmtId="167" fontId="17" fillId="8" borderId="17" xfId="1" applyNumberFormat="1" applyFont="1" applyFill="1" applyBorder="1" applyAlignment="1">
      <alignment horizontal="right" vertical="center"/>
    </xf>
    <xf numFmtId="0" fontId="3" fillId="2" borderId="22" xfId="0" applyFont="1" applyFill="1" applyAlignment="1">
      <alignment horizontal="center" wrapText="1"/>
    </xf>
    <xf numFmtId="0" fontId="0" fillId="2" borderId="22" xfId="0" applyFill="1"/>
    <xf numFmtId="0" fontId="2" fillId="2" borderId="22" xfId="0" applyFont="1" applyFill="1"/>
    <xf numFmtId="0" fontId="0" fillId="2" borderId="22" xfId="0" applyFill="1" applyAlignment="1">
      <alignment horizontal="center" vertical="center" wrapText="1"/>
    </xf>
    <xf numFmtId="0" fontId="5" fillId="2" borderId="22" xfId="0" applyFont="1" applyFill="1"/>
    <xf numFmtId="165" fontId="0" fillId="2" borderId="22" xfId="2" applyNumberFormat="1" applyFont="1" applyFill="1"/>
    <xf numFmtId="0" fontId="9" fillId="3" borderId="11" xfId="0" applyFont="1" applyFill="1" applyBorder="1" applyAlignment="1">
      <alignment horizontal="center" vertical="center" wrapText="1"/>
    </xf>
    <xf numFmtId="0" fontId="9" fillId="3" borderId="10" xfId="0" applyFont="1" applyFill="1" applyBorder="1"/>
    <xf numFmtId="165" fontId="9" fillId="3" borderId="10" xfId="2" applyNumberFormat="1" applyFont="1" applyFill="1" applyBorder="1"/>
    <xf numFmtId="165" fontId="9" fillId="3" borderId="14" xfId="2" applyNumberFormat="1" applyFont="1" applyFill="1" applyBorder="1"/>
    <xf numFmtId="0" fontId="21" fillId="10" borderId="31" xfId="0" applyFont="1" applyFill="1" applyBorder="1" applyAlignment="1" applyProtection="1">
      <alignment horizontal="left" vertical="center"/>
      <protection locked="0"/>
    </xf>
    <xf numFmtId="0" fontId="21" fillId="10" borderId="31" xfId="0" applyFont="1" applyFill="1" applyBorder="1" applyAlignment="1" applyProtection="1">
      <alignment horizontal="right" vertical="center"/>
      <protection locked="0"/>
    </xf>
    <xf numFmtId="0" fontId="21" fillId="10" borderId="31" xfId="0" applyFont="1" applyFill="1" applyBorder="1" applyAlignment="1" applyProtection="1">
      <alignment horizontal="center" vertical="center"/>
      <protection locked="0"/>
    </xf>
    <xf numFmtId="165" fontId="13" fillId="7" borderId="31" xfId="2" applyNumberFormat="1" applyFont="1" applyFill="1" applyBorder="1" applyAlignment="1" applyProtection="1">
      <alignment horizontal="center" vertical="center"/>
      <protection locked="0"/>
    </xf>
    <xf numFmtId="4" fontId="21" fillId="8" borderId="31" xfId="2" applyNumberFormat="1" applyFont="1" applyFill="1" applyBorder="1" applyAlignment="1">
      <alignment horizontal="right" vertical="center"/>
    </xf>
    <xf numFmtId="165" fontId="19" fillId="9" borderId="1" xfId="2" applyNumberFormat="1" applyFont="1" applyFill="1" applyBorder="1" applyAlignment="1">
      <alignment horizontal="center" vertical="center"/>
    </xf>
    <xf numFmtId="0" fontId="10" fillId="11" borderId="16" xfId="0" applyFont="1" applyFill="1" applyBorder="1" applyAlignment="1">
      <alignment horizontal="center" vertical="center"/>
    </xf>
    <xf numFmtId="165" fontId="10" fillId="11" borderId="17" xfId="2" applyNumberFormat="1" applyFont="1" applyFill="1" applyBorder="1" applyAlignment="1">
      <alignment horizontal="center" vertical="center"/>
    </xf>
    <xf numFmtId="9" fontId="0" fillId="2" borderId="22" xfId="0" applyNumberFormat="1" applyFill="1"/>
    <xf numFmtId="0" fontId="4" fillId="2" borderId="22" xfId="0" applyFont="1" applyFill="1"/>
    <xf numFmtId="0" fontId="0" fillId="2" borderId="22" xfId="0" applyFill="1" applyAlignment="1">
      <alignment horizontal="center"/>
    </xf>
    <xf numFmtId="0" fontId="4" fillId="14" borderId="22" xfId="0" applyFont="1" applyFill="1" applyAlignment="1">
      <alignment horizontal="center"/>
    </xf>
    <xf numFmtId="166" fontId="0" fillId="2" borderId="22" xfId="0" applyNumberFormat="1" applyFill="1"/>
    <xf numFmtId="166" fontId="4" fillId="14" borderId="22" xfId="0" applyNumberFormat="1" applyFont="1" applyFill="1" applyAlignment="1">
      <alignment horizontal="center"/>
    </xf>
    <xf numFmtId="0" fontId="21" fillId="10" borderId="13" xfId="0" applyFont="1" applyFill="1" applyBorder="1" applyAlignment="1" applyProtection="1">
      <alignment horizontal="center" vertical="center"/>
      <protection locked="0"/>
    </xf>
    <xf numFmtId="0" fontId="0" fillId="0" borderId="22" xfId="0" applyAlignment="1">
      <alignment horizontal="center" vertical="center" wrapText="1"/>
    </xf>
    <xf numFmtId="0" fontId="21" fillId="10" borderId="32" xfId="0" applyFont="1" applyFill="1" applyBorder="1" applyAlignment="1" applyProtection="1">
      <alignment horizontal="left" vertical="center"/>
      <protection locked="0"/>
    </xf>
    <xf numFmtId="0" fontId="21" fillId="10" borderId="32" xfId="0" applyFont="1" applyFill="1" applyBorder="1" applyAlignment="1" applyProtection="1">
      <alignment horizontal="right" vertical="center"/>
      <protection locked="0"/>
    </xf>
    <xf numFmtId="0" fontId="21" fillId="10" borderId="32" xfId="0" applyFont="1" applyFill="1" applyBorder="1" applyAlignment="1" applyProtection="1">
      <alignment horizontal="center" vertical="center"/>
      <protection locked="0"/>
    </xf>
    <xf numFmtId="2" fontId="21" fillId="10" borderId="32" xfId="0" applyNumberFormat="1" applyFont="1" applyFill="1" applyBorder="1" applyAlignment="1" applyProtection="1">
      <alignment horizontal="right" vertical="center"/>
      <protection locked="0"/>
    </xf>
    <xf numFmtId="165" fontId="13" fillId="7" borderId="32" xfId="2" applyNumberFormat="1" applyFont="1" applyFill="1" applyBorder="1" applyAlignment="1" applyProtection="1">
      <alignment horizontal="center" vertical="center"/>
      <protection locked="0"/>
    </xf>
    <xf numFmtId="4" fontId="21" fillId="8" borderId="32" xfId="2" applyNumberFormat="1" applyFont="1" applyFill="1" applyBorder="1" applyAlignment="1">
      <alignment horizontal="right" vertical="center"/>
    </xf>
    <xf numFmtId="0" fontId="20" fillId="12" borderId="18" xfId="0" applyFont="1" applyFill="1" applyBorder="1" applyAlignment="1">
      <alignment horizontal="center" vertical="center" wrapText="1"/>
    </xf>
    <xf numFmtId="165" fontId="20" fillId="12" borderId="19" xfId="2" applyNumberFormat="1" applyFont="1" applyFill="1" applyBorder="1"/>
    <xf numFmtId="0" fontId="20" fillId="12" borderId="19" xfId="0" applyFont="1" applyFill="1" applyBorder="1"/>
    <xf numFmtId="0" fontId="21" fillId="10" borderId="1" xfId="0" applyFont="1" applyFill="1" applyBorder="1" applyAlignment="1" applyProtection="1">
      <alignment horizontal="left" vertical="center"/>
      <protection locked="0"/>
    </xf>
    <xf numFmtId="0" fontId="21" fillId="10" borderId="1" xfId="0" applyFont="1" applyFill="1" applyBorder="1" applyAlignment="1" applyProtection="1">
      <alignment horizontal="right" vertical="center"/>
      <protection locked="0"/>
    </xf>
    <xf numFmtId="0" fontId="21" fillId="10" borderId="1" xfId="0" applyFont="1" applyFill="1" applyBorder="1" applyAlignment="1" applyProtection="1">
      <alignment horizontal="center" vertical="center"/>
      <protection locked="0"/>
    </xf>
    <xf numFmtId="165" fontId="13" fillId="7" borderId="1" xfId="2" applyNumberFormat="1" applyFont="1" applyFill="1" applyBorder="1" applyAlignment="1" applyProtection="1">
      <alignment horizontal="center" vertical="center"/>
      <protection locked="0"/>
    </xf>
    <xf numFmtId="4" fontId="21" fillId="8" borderId="1" xfId="2" applyNumberFormat="1" applyFont="1" applyFill="1" applyBorder="1" applyAlignment="1">
      <alignment horizontal="right" vertical="center"/>
    </xf>
    <xf numFmtId="0" fontId="10" fillId="11" borderId="8" xfId="0" applyFont="1" applyFill="1" applyBorder="1" applyAlignment="1">
      <alignment horizontal="center" vertical="center"/>
    </xf>
    <xf numFmtId="0" fontId="10" fillId="11" borderId="30" xfId="0" applyFont="1" applyFill="1" applyBorder="1" applyAlignment="1">
      <alignment horizontal="center" vertical="center"/>
    </xf>
    <xf numFmtId="0" fontId="20" fillId="12" borderId="24" xfId="0" applyFont="1" applyFill="1" applyBorder="1"/>
    <xf numFmtId="0" fontId="18" fillId="17" borderId="22" xfId="0" applyFont="1" applyFill="1" applyAlignment="1">
      <alignment horizontal="left" vertical="center"/>
    </xf>
    <xf numFmtId="0" fontId="18" fillId="17" borderId="22" xfId="0" applyFont="1" applyFill="1" applyAlignment="1">
      <alignment vertical="center"/>
    </xf>
    <xf numFmtId="0" fontId="10" fillId="11" borderId="2" xfId="0" applyFont="1" applyFill="1" applyBorder="1" applyAlignment="1">
      <alignment horizontal="center" vertical="center"/>
    </xf>
    <xf numFmtId="0" fontId="10" fillId="11" borderId="3" xfId="0" applyFont="1" applyFill="1" applyBorder="1" applyAlignment="1">
      <alignment horizontal="center" vertical="center"/>
    </xf>
    <xf numFmtId="4" fontId="21" fillId="8" borderId="19" xfId="0" applyNumberFormat="1" applyFont="1" applyFill="1" applyBorder="1" applyAlignment="1">
      <alignment horizontal="right" vertical="center"/>
    </xf>
    <xf numFmtId="4" fontId="21" fillId="8" borderId="17" xfId="2" applyNumberFormat="1" applyFont="1" applyFill="1" applyBorder="1" applyAlignment="1">
      <alignment horizontal="right" vertical="center"/>
    </xf>
    <xf numFmtId="0" fontId="0" fillId="2" borderId="22" xfId="0" applyFill="1" applyAlignment="1">
      <alignment horizontal="left"/>
    </xf>
    <xf numFmtId="165" fontId="19" fillId="19" borderId="22" xfId="2" applyNumberFormat="1" applyFont="1" applyFill="1"/>
    <xf numFmtId="0" fontId="16" fillId="17" borderId="22" xfId="0" applyFont="1" applyFill="1" applyAlignment="1">
      <alignment horizontal="left" vertical="center"/>
    </xf>
    <xf numFmtId="0" fontId="19" fillId="18" borderId="22" xfId="0" applyFont="1" applyFill="1" applyAlignment="1">
      <alignment vertical="center" wrapText="1"/>
    </xf>
    <xf numFmtId="0" fontId="12" fillId="13" borderId="23" xfId="0" applyFont="1" applyFill="1" applyBorder="1" applyAlignment="1">
      <alignment horizontal="left" vertical="center"/>
    </xf>
    <xf numFmtId="0" fontId="0" fillId="2" borderId="10" xfId="0" applyFill="1" applyBorder="1"/>
    <xf numFmtId="167" fontId="21" fillId="10" borderId="1" xfId="0" applyNumberFormat="1" applyFont="1" applyFill="1" applyBorder="1" applyAlignment="1" applyProtection="1">
      <alignment horizontal="center" vertical="center"/>
      <protection locked="0"/>
    </xf>
    <xf numFmtId="165" fontId="21" fillId="8" borderId="1" xfId="2" applyNumberFormat="1" applyFont="1" applyFill="1" applyBorder="1" applyAlignment="1">
      <alignment horizontal="center" vertical="center"/>
    </xf>
    <xf numFmtId="4" fontId="21" fillId="8" borderId="21" xfId="2" applyNumberFormat="1" applyFont="1" applyFill="1" applyBorder="1" applyAlignment="1">
      <alignment horizontal="right" vertical="center"/>
    </xf>
    <xf numFmtId="4" fontId="21" fillId="8" borderId="20" xfId="0" applyNumberFormat="1" applyFont="1" applyFill="1" applyBorder="1" applyAlignment="1">
      <alignment horizontal="center" vertical="center"/>
    </xf>
    <xf numFmtId="0" fontId="0" fillId="2" borderId="21" xfId="0" applyFill="1" applyBorder="1"/>
    <xf numFmtId="4" fontId="21" fillId="8" borderId="16" xfId="0" applyNumberFormat="1" applyFont="1" applyFill="1" applyBorder="1" applyAlignment="1">
      <alignment horizontal="center" vertical="center"/>
    </xf>
    <xf numFmtId="0" fontId="0" fillId="2" borderId="17" xfId="0" applyFill="1" applyBorder="1"/>
    <xf numFmtId="0" fontId="13" fillId="7" borderId="1" xfId="0" applyFont="1" applyFill="1" applyBorder="1" applyAlignment="1" applyProtection="1">
      <alignment horizontal="center" vertical="center"/>
      <protection locked="0"/>
    </xf>
    <xf numFmtId="4" fontId="21" fillId="8" borderId="21" xfId="0" applyNumberFormat="1" applyFont="1" applyFill="1" applyBorder="1" applyAlignment="1">
      <alignment horizontal="right" vertical="center"/>
    </xf>
    <xf numFmtId="0" fontId="20" fillId="12" borderId="16" xfId="0" applyFont="1" applyFill="1" applyBorder="1" applyAlignment="1">
      <alignment horizontal="center" vertical="center" wrapText="1"/>
    </xf>
    <xf numFmtId="4" fontId="21" fillId="8" borderId="17" xfId="0" applyNumberFormat="1" applyFont="1" applyFill="1" applyBorder="1" applyAlignment="1">
      <alignment horizontal="right" vertical="center"/>
    </xf>
    <xf numFmtId="0" fontId="21" fillId="12" borderId="1" xfId="0" applyFont="1" applyFill="1" applyBorder="1"/>
    <xf numFmtId="165" fontId="0" fillId="14" borderId="22" xfId="2" applyNumberFormat="1" applyFont="1" applyFill="1"/>
    <xf numFmtId="0" fontId="0" fillId="2" borderId="22" xfId="0" applyFill="1" applyAlignment="1">
      <alignment horizontal="center" vertical="center"/>
    </xf>
    <xf numFmtId="168" fontId="0" fillId="14" borderId="22" xfId="1" applyNumberFormat="1" applyFont="1" applyFill="1"/>
    <xf numFmtId="168" fontId="0" fillId="2" borderId="22" xfId="1" applyNumberFormat="1" applyFont="1" applyFill="1"/>
    <xf numFmtId="0" fontId="27" fillId="14" borderId="22" xfId="0" applyFont="1" applyFill="1"/>
    <xf numFmtId="0" fontId="12" fillId="13" borderId="18" xfId="0" applyFont="1" applyFill="1" applyBorder="1" applyAlignment="1">
      <alignment horizontal="left" vertical="center"/>
    </xf>
    <xf numFmtId="0" fontId="12" fillId="13" borderId="16" xfId="0" applyFont="1" applyFill="1" applyBorder="1" applyAlignment="1">
      <alignment horizontal="left" vertical="center"/>
    </xf>
    <xf numFmtId="167" fontId="21" fillId="8" borderId="17" xfId="0" applyNumberFormat="1" applyFont="1" applyFill="1" applyBorder="1" applyAlignment="1">
      <alignment horizontal="right" vertical="center"/>
    </xf>
    <xf numFmtId="0" fontId="16" fillId="13" borderId="20" xfId="0" applyFont="1" applyFill="1" applyBorder="1" applyAlignment="1">
      <alignment horizontal="left" vertical="center"/>
    </xf>
    <xf numFmtId="3" fontId="11" fillId="4" borderId="1" xfId="2" applyNumberFormat="1" applyFont="1" applyFill="1" applyBorder="1" applyAlignment="1">
      <alignment horizontal="center" vertical="center"/>
    </xf>
    <xf numFmtId="3" fontId="11" fillId="4" borderId="21" xfId="1" applyNumberFormat="1" applyFont="1" applyFill="1" applyBorder="1" applyAlignment="1">
      <alignment horizontal="right" vertical="center"/>
    </xf>
    <xf numFmtId="167" fontId="21" fillId="8" borderId="17" xfId="1" applyNumberFormat="1" applyFont="1" applyFill="1" applyBorder="1" applyAlignment="1">
      <alignment horizontal="right" vertical="center"/>
    </xf>
    <xf numFmtId="0" fontId="10" fillId="6" borderId="18" xfId="0" applyFont="1" applyFill="1" applyBorder="1" applyAlignment="1">
      <alignment horizontal="left" vertical="center"/>
    </xf>
    <xf numFmtId="169" fontId="12" fillId="8" borderId="19" xfId="0" applyNumberFormat="1" applyFont="1" applyFill="1" applyBorder="1" applyAlignment="1">
      <alignment horizontal="center" vertical="center"/>
    </xf>
    <xf numFmtId="0" fontId="10" fillId="6" borderId="16" xfId="0" applyFont="1" applyFill="1" applyBorder="1" applyAlignment="1">
      <alignment horizontal="left" vertical="center"/>
    </xf>
    <xf numFmtId="169" fontId="12" fillId="8" borderId="17" xfId="0" applyNumberFormat="1" applyFont="1" applyFill="1" applyBorder="1" applyAlignment="1">
      <alignment horizontal="center" vertical="center"/>
    </xf>
    <xf numFmtId="0" fontId="11" fillId="7" borderId="31" xfId="0" applyFont="1" applyFill="1" applyBorder="1" applyAlignment="1" applyProtection="1">
      <alignment horizontal="center" vertical="center"/>
      <protection locked="0"/>
    </xf>
    <xf numFmtId="169" fontId="12" fillId="8" borderId="33" xfId="0" applyNumberFormat="1" applyFont="1" applyFill="1" applyBorder="1" applyAlignment="1">
      <alignment horizontal="center" vertical="center"/>
    </xf>
    <xf numFmtId="0" fontId="10" fillId="6" borderId="15" xfId="0" applyFont="1" applyFill="1" applyBorder="1" applyAlignment="1">
      <alignment horizontal="left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30" fillId="21" borderId="41" xfId="0" applyFont="1" applyFill="1" applyBorder="1" applyAlignment="1">
      <alignment horizontal="center" vertical="center"/>
    </xf>
    <xf numFmtId="166" fontId="13" fillId="7" borderId="31" xfId="0" applyNumberFormat="1" applyFont="1" applyFill="1" applyBorder="1" applyAlignment="1" applyProtection="1">
      <alignment horizontal="center" vertical="center"/>
      <protection locked="0"/>
    </xf>
    <xf numFmtId="3" fontId="21" fillId="8" borderId="33" xfId="0" applyNumberFormat="1" applyFont="1" applyFill="1" applyBorder="1" applyAlignment="1">
      <alignment horizontal="right" vertical="center"/>
    </xf>
    <xf numFmtId="0" fontId="16" fillId="13" borderId="15" xfId="0" applyFont="1" applyFill="1" applyBorder="1" applyAlignment="1">
      <alignment horizontal="left" vertical="center"/>
    </xf>
    <xf numFmtId="0" fontId="32" fillId="2" borderId="10" xfId="0" applyFont="1" applyFill="1" applyBorder="1" applyAlignment="1">
      <alignment horizontal="right"/>
    </xf>
    <xf numFmtId="0" fontId="9" fillId="3" borderId="38" xfId="0" applyFont="1" applyFill="1" applyBorder="1" applyAlignment="1">
      <alignment horizontal="center" vertical="center"/>
    </xf>
    <xf numFmtId="0" fontId="11" fillId="7" borderId="41" xfId="0" applyFont="1" applyFill="1" applyBorder="1" applyAlignment="1" applyProtection="1">
      <alignment horizontal="center" vertical="center"/>
      <protection locked="0"/>
    </xf>
    <xf numFmtId="0" fontId="13" fillId="7" borderId="34" xfId="0" applyFont="1" applyFill="1" applyBorder="1" applyAlignment="1" applyProtection="1">
      <alignment horizontal="center" vertical="center"/>
      <protection locked="0"/>
    </xf>
    <xf numFmtId="0" fontId="16" fillId="22" borderId="20" xfId="0" applyFont="1" applyFill="1" applyBorder="1" applyAlignment="1">
      <alignment horizontal="left" vertical="center"/>
    </xf>
    <xf numFmtId="0" fontId="16" fillId="22" borderId="1" xfId="0" applyFont="1" applyFill="1" applyBorder="1" applyAlignment="1">
      <alignment horizontal="left" vertical="center"/>
    </xf>
    <xf numFmtId="0" fontId="21" fillId="10" borderId="18" xfId="0" applyFont="1" applyFill="1" applyBorder="1" applyAlignment="1">
      <alignment horizontal="left" vertical="center"/>
    </xf>
    <xf numFmtId="0" fontId="12" fillId="20" borderId="19" xfId="0" applyFont="1" applyFill="1" applyBorder="1" applyAlignment="1">
      <alignment horizontal="left" vertical="center" wrapText="1"/>
    </xf>
    <xf numFmtId="0" fontId="16" fillId="22" borderId="18" xfId="0" applyFont="1" applyFill="1" applyBorder="1" applyAlignment="1">
      <alignment horizontal="left" vertical="center"/>
    </xf>
    <xf numFmtId="0" fontId="16" fillId="22" borderId="41" xfId="0" applyFont="1" applyFill="1" applyBorder="1" applyAlignment="1">
      <alignment horizontal="left" vertical="center"/>
    </xf>
    <xf numFmtId="0" fontId="21" fillId="7" borderId="18" xfId="0" applyFont="1" applyFill="1" applyBorder="1" applyAlignment="1">
      <alignment horizontal="left" vertical="center"/>
    </xf>
    <xf numFmtId="0" fontId="21" fillId="8" borderId="18" xfId="0" applyFont="1" applyFill="1" applyBorder="1" applyAlignment="1">
      <alignment horizontal="left" vertical="center"/>
    </xf>
    <xf numFmtId="0" fontId="21" fillId="4" borderId="18" xfId="0" applyFont="1" applyFill="1" applyBorder="1" applyAlignment="1">
      <alignment horizontal="left" vertical="center"/>
    </xf>
    <xf numFmtId="0" fontId="16" fillId="22" borderId="16" xfId="0" applyFont="1" applyFill="1" applyBorder="1" applyAlignment="1">
      <alignment horizontal="left" vertical="center"/>
    </xf>
    <xf numFmtId="0" fontId="16" fillId="22" borderId="34" xfId="0" applyFont="1" applyFill="1" applyBorder="1" applyAlignment="1">
      <alignment horizontal="left" vertical="center"/>
    </xf>
    <xf numFmtId="0" fontId="21" fillId="9" borderId="18" xfId="0" applyFont="1" applyFill="1" applyBorder="1" applyAlignment="1">
      <alignment horizontal="left" vertical="center"/>
    </xf>
    <xf numFmtId="0" fontId="19" fillId="21" borderId="26" xfId="0" applyFont="1" applyFill="1" applyBorder="1" applyAlignment="1">
      <alignment horizontal="center" vertical="center"/>
    </xf>
    <xf numFmtId="0" fontId="19" fillId="21" borderId="27" xfId="0" applyFont="1" applyFill="1" applyBorder="1" applyAlignment="1">
      <alignment horizontal="center" vertical="center"/>
    </xf>
    <xf numFmtId="0" fontId="25" fillId="22" borderId="18" xfId="0" applyFont="1" applyFill="1" applyBorder="1" applyAlignment="1">
      <alignment horizontal="center" vertical="center"/>
    </xf>
    <xf numFmtId="0" fontId="26" fillId="20" borderId="19" xfId="0" applyFont="1" applyFill="1" applyBorder="1" applyAlignment="1">
      <alignment horizontal="left" vertical="center" wrapText="1"/>
    </xf>
    <xf numFmtId="0" fontId="0" fillId="0" borderId="22" xfId="0"/>
    <xf numFmtId="0" fontId="18" fillId="22" borderId="18" xfId="0" applyFont="1" applyFill="1" applyBorder="1" applyAlignment="1">
      <alignment horizontal="left" vertical="center"/>
    </xf>
    <xf numFmtId="0" fontId="25" fillId="22" borderId="16" xfId="0" applyFont="1" applyFill="1" applyBorder="1" applyAlignment="1">
      <alignment horizontal="center" vertical="center"/>
    </xf>
    <xf numFmtId="0" fontId="26" fillId="20" borderId="17" xfId="0" applyFont="1" applyFill="1" applyBorder="1" applyAlignment="1">
      <alignment horizontal="left" vertical="center" wrapText="1"/>
    </xf>
    <xf numFmtId="0" fontId="0" fillId="20" borderId="22" xfId="0" applyFill="1"/>
    <xf numFmtId="0" fontId="18" fillId="22" borderId="16" xfId="0" applyFont="1" applyFill="1" applyBorder="1" applyAlignment="1">
      <alignment horizontal="left" vertical="center"/>
    </xf>
    <xf numFmtId="9" fontId="0" fillId="2" borderId="22" xfId="1" applyFont="1" applyFill="1"/>
    <xf numFmtId="0" fontId="31" fillId="22" borderId="22" xfId="0" applyFont="1" applyFill="1" applyAlignment="1">
      <alignment horizontal="left" vertical="center"/>
    </xf>
    <xf numFmtId="0" fontId="19" fillId="21" borderId="20" xfId="0" applyFont="1" applyFill="1" applyBorder="1" applyAlignment="1">
      <alignment horizontal="center" vertical="center"/>
    </xf>
    <xf numFmtId="0" fontId="19" fillId="21" borderId="1" xfId="0" applyFont="1" applyFill="1" applyBorder="1" applyAlignment="1">
      <alignment horizontal="center" vertical="center"/>
    </xf>
    <xf numFmtId="165" fontId="19" fillId="21" borderId="1" xfId="2" applyNumberFormat="1" applyFont="1" applyFill="1" applyBorder="1" applyAlignment="1">
      <alignment horizontal="center" vertical="center"/>
    </xf>
    <xf numFmtId="165" fontId="19" fillId="21" borderId="21" xfId="2" applyNumberFormat="1" applyFont="1" applyFill="1" applyBorder="1" applyAlignment="1">
      <alignment horizontal="center" vertical="center"/>
    </xf>
    <xf numFmtId="0" fontId="10" fillId="11" borderId="34" xfId="0" applyFont="1" applyFill="1" applyBorder="1" applyAlignment="1">
      <alignment horizontal="center" vertical="center"/>
    </xf>
    <xf numFmtId="165" fontId="10" fillId="11" borderId="34" xfId="2" applyNumberFormat="1" applyFont="1" applyFill="1" applyBorder="1" applyAlignment="1">
      <alignment horizontal="center" vertical="center"/>
    </xf>
    <xf numFmtId="0" fontId="20" fillId="20" borderId="20" xfId="0" applyFont="1" applyFill="1" applyBorder="1" applyAlignment="1">
      <alignment horizontal="center" vertical="center" wrapText="1"/>
    </xf>
    <xf numFmtId="165" fontId="20" fillId="20" borderId="21" xfId="2" applyNumberFormat="1" applyFont="1" applyFill="1" applyBorder="1"/>
    <xf numFmtId="0" fontId="21" fillId="10" borderId="41" xfId="0" applyFont="1" applyFill="1" applyBorder="1" applyAlignment="1" applyProtection="1">
      <alignment horizontal="left" vertical="center"/>
      <protection locked="0"/>
    </xf>
    <xf numFmtId="0" fontId="21" fillId="10" borderId="41" xfId="0" applyFont="1" applyFill="1" applyBorder="1" applyAlignment="1" applyProtection="1">
      <alignment horizontal="right" vertical="center"/>
      <protection locked="0"/>
    </xf>
    <xf numFmtId="0" fontId="21" fillId="10" borderId="41" xfId="0" applyFont="1" applyFill="1" applyBorder="1" applyAlignment="1" applyProtection="1">
      <alignment horizontal="center" vertical="center"/>
      <protection locked="0"/>
    </xf>
    <xf numFmtId="165" fontId="13" fillId="7" borderId="41" xfId="2" applyNumberFormat="1" applyFont="1" applyFill="1" applyBorder="1" applyAlignment="1" applyProtection="1">
      <alignment horizontal="center" vertical="center"/>
      <protection locked="0"/>
    </xf>
    <xf numFmtId="4" fontId="21" fillId="8" borderId="41" xfId="2" applyNumberFormat="1" applyFont="1" applyFill="1" applyBorder="1" applyAlignment="1">
      <alignment horizontal="right" vertical="center"/>
    </xf>
    <xf numFmtId="0" fontId="20" fillId="20" borderId="18" xfId="0" applyFont="1" applyFill="1" applyBorder="1" applyAlignment="1">
      <alignment horizontal="center" vertical="center" wrapText="1"/>
    </xf>
    <xf numFmtId="165" fontId="20" fillId="20" borderId="19" xfId="2" applyNumberFormat="1" applyFont="1" applyFill="1" applyBorder="1"/>
    <xf numFmtId="0" fontId="21" fillId="10" borderId="41" xfId="0" applyFont="1" applyFill="1" applyBorder="1" applyAlignment="1" applyProtection="1">
      <alignment vertical="center"/>
      <protection locked="0"/>
    </xf>
    <xf numFmtId="4" fontId="21" fillId="8" borderId="41" xfId="0" applyNumberFormat="1" applyFont="1" applyFill="1" applyBorder="1" applyAlignment="1">
      <alignment horizontal="right" vertical="center"/>
    </xf>
    <xf numFmtId="0" fontId="20" fillId="20" borderId="19" xfId="0" applyFont="1" applyFill="1" applyBorder="1"/>
    <xf numFmtId="0" fontId="20" fillId="20" borderId="6" xfId="0" applyFont="1" applyFill="1" applyBorder="1" applyAlignment="1">
      <alignment horizontal="center" vertical="center" wrapText="1"/>
    </xf>
    <xf numFmtId="0" fontId="20" fillId="20" borderId="7" xfId="0" applyFont="1" applyFill="1" applyBorder="1"/>
    <xf numFmtId="0" fontId="10" fillId="11" borderId="36" xfId="0" applyFont="1" applyFill="1" applyBorder="1" applyAlignment="1">
      <alignment horizontal="center" vertical="center"/>
    </xf>
    <xf numFmtId="165" fontId="10" fillId="11" borderId="36" xfId="2" applyNumberFormat="1" applyFont="1" applyFill="1" applyBorder="1" applyAlignment="1">
      <alignment horizontal="center" vertical="center"/>
    </xf>
    <xf numFmtId="0" fontId="20" fillId="20" borderId="15" xfId="0" applyFont="1" applyFill="1" applyBorder="1" applyAlignment="1">
      <alignment horizontal="center" vertical="center" wrapText="1"/>
    </xf>
    <xf numFmtId="0" fontId="20" fillId="20" borderId="33" xfId="0" applyFont="1" applyFill="1" applyBorder="1"/>
    <xf numFmtId="0" fontId="13" fillId="7" borderId="41" xfId="0" applyFont="1" applyFill="1" applyBorder="1" applyAlignment="1" applyProtection="1">
      <alignment horizontal="center" vertical="center"/>
      <protection locked="0"/>
    </xf>
    <xf numFmtId="0" fontId="20" fillId="20" borderId="16" xfId="0" applyFont="1" applyFill="1" applyBorder="1" applyAlignment="1">
      <alignment horizontal="center" vertical="center" wrapText="1"/>
    </xf>
    <xf numFmtId="0" fontId="21" fillId="10" borderId="34" xfId="0" applyFont="1" applyFill="1" applyBorder="1" applyAlignment="1" applyProtection="1">
      <alignment horizontal="left" vertical="center"/>
      <protection locked="0"/>
    </xf>
    <xf numFmtId="0" fontId="21" fillId="10" borderId="34" xfId="0" applyFont="1" applyFill="1" applyBorder="1" applyAlignment="1" applyProtection="1">
      <alignment horizontal="right" vertical="center"/>
      <protection locked="0"/>
    </xf>
    <xf numFmtId="0" fontId="21" fillId="10" borderId="34" xfId="0" applyFont="1" applyFill="1" applyBorder="1" applyAlignment="1" applyProtection="1">
      <alignment horizontal="center" vertical="center"/>
      <protection locked="0"/>
    </xf>
    <xf numFmtId="4" fontId="21" fillId="8" borderId="34" xfId="0" applyNumberFormat="1" applyFont="1" applyFill="1" applyBorder="1" applyAlignment="1">
      <alignment horizontal="right" vertical="center"/>
    </xf>
    <xf numFmtId="0" fontId="20" fillId="20" borderId="17" xfId="0" applyFont="1" applyFill="1" applyBorder="1"/>
    <xf numFmtId="0" fontId="19" fillId="21" borderId="2" xfId="0" applyFont="1" applyFill="1" applyBorder="1" applyAlignment="1">
      <alignment horizontal="center" vertical="center" wrapText="1"/>
    </xf>
    <xf numFmtId="0" fontId="19" fillId="21" borderId="38" xfId="0" applyFont="1" applyFill="1" applyBorder="1" applyAlignment="1">
      <alignment horizontal="center" vertical="center" wrapText="1"/>
    </xf>
    <xf numFmtId="0" fontId="4" fillId="20" borderId="22" xfId="0" applyFont="1" applyFill="1" applyAlignment="1">
      <alignment horizontal="center"/>
    </xf>
    <xf numFmtId="0" fontId="10" fillId="11" borderId="38" xfId="0" applyFont="1" applyFill="1" applyBorder="1" applyAlignment="1">
      <alignment horizontal="center" vertical="center"/>
    </xf>
    <xf numFmtId="0" fontId="22" fillId="15" borderId="22" xfId="0" applyFont="1" applyFill="1" applyAlignment="1">
      <alignment horizontal="center" vertical="center"/>
    </xf>
    <xf numFmtId="165" fontId="19" fillId="21" borderId="12" xfId="2" applyNumberFormat="1" applyFont="1" applyFill="1" applyBorder="1" applyAlignment="1">
      <alignment horizontal="center"/>
    </xf>
    <xf numFmtId="0" fontId="12" fillId="13" borderId="41" xfId="0" applyFont="1" applyFill="1" applyBorder="1" applyAlignment="1">
      <alignment horizontal="left" vertical="center"/>
    </xf>
    <xf numFmtId="0" fontId="21" fillId="20" borderId="41" xfId="0" applyFont="1" applyFill="1" applyBorder="1"/>
    <xf numFmtId="0" fontId="23" fillId="17" borderId="22" xfId="0" applyFont="1" applyFill="1" applyAlignment="1">
      <alignment horizontal="left" vertical="center"/>
    </xf>
    <xf numFmtId="3" fontId="21" fillId="16" borderId="22" xfId="0" applyNumberFormat="1" applyFont="1" applyFill="1" applyAlignment="1">
      <alignment horizontal="center" vertical="center"/>
    </xf>
    <xf numFmtId="0" fontId="12" fillId="13" borderId="34" xfId="0" applyFont="1" applyFill="1" applyBorder="1" applyAlignment="1">
      <alignment horizontal="left" vertical="center"/>
    </xf>
    <xf numFmtId="9" fontId="21" fillId="20" borderId="34" xfId="0" applyNumberFormat="1" applyFont="1" applyFill="1" applyBorder="1"/>
    <xf numFmtId="168" fontId="21" fillId="10" borderId="34" xfId="0" applyNumberFormat="1" applyFont="1" applyFill="1" applyBorder="1" applyAlignment="1" applyProtection="1">
      <alignment horizontal="right" vertical="center"/>
      <protection locked="0"/>
    </xf>
    <xf numFmtId="165" fontId="13" fillId="7" borderId="34" xfId="2" applyNumberFormat="1" applyFont="1" applyFill="1" applyBorder="1" applyAlignment="1" applyProtection="1">
      <alignment horizontal="center" vertical="center"/>
      <protection locked="0"/>
    </xf>
    <xf numFmtId="0" fontId="21" fillId="12" borderId="34" xfId="0" applyFont="1" applyFill="1" applyBorder="1"/>
    <xf numFmtId="3" fontId="11" fillId="20" borderId="23" xfId="2" applyNumberFormat="1" applyFont="1" applyFill="1" applyBorder="1" applyAlignment="1">
      <alignment horizontal="center" vertical="center"/>
    </xf>
    <xf numFmtId="3" fontId="11" fillId="20" borderId="24" xfId="2" applyNumberFormat="1" applyFont="1" applyFill="1" applyBorder="1" applyAlignment="1">
      <alignment horizontal="right" vertical="center"/>
    </xf>
    <xf numFmtId="0" fontId="27" fillId="2" borderId="22" xfId="0" applyFont="1" applyFill="1"/>
    <xf numFmtId="0" fontId="29" fillId="2" borderId="22" xfId="0" applyFont="1" applyFill="1"/>
    <xf numFmtId="0" fontId="28" fillId="17" borderId="22" xfId="0" applyFont="1" applyFill="1" applyAlignment="1">
      <alignment horizontal="right" vertical="center"/>
    </xf>
    <xf numFmtId="0" fontId="24" fillId="20" borderId="24" xfId="0" applyFont="1" applyFill="1" applyBorder="1" applyAlignment="1">
      <alignment horizontal="left" vertical="center" wrapText="1"/>
    </xf>
    <xf numFmtId="3" fontId="11" fillId="4" borderId="41" xfId="1" applyNumberFormat="1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left" vertical="center"/>
    </xf>
    <xf numFmtId="0" fontId="19" fillId="3" borderId="41" xfId="0" applyFont="1" applyFill="1" applyBorder="1" applyAlignment="1">
      <alignment horizontal="center"/>
    </xf>
    <xf numFmtId="9" fontId="13" fillId="7" borderId="41" xfId="0" applyNumberFormat="1" applyFont="1" applyFill="1" applyBorder="1" applyAlignment="1">
      <alignment horizontal="center" vertical="center"/>
    </xf>
    <xf numFmtId="0" fontId="13" fillId="2" borderId="41" xfId="0" applyFont="1" applyFill="1" applyBorder="1" applyAlignment="1">
      <alignment horizontal="center" vertical="center"/>
    </xf>
    <xf numFmtId="0" fontId="0" fillId="2" borderId="41" xfId="0" applyFill="1" applyBorder="1"/>
    <xf numFmtId="0" fontId="6" fillId="0" borderId="22" xfId="0" applyFont="1"/>
    <xf numFmtId="10" fontId="0" fillId="0" borderId="22" xfId="0" applyNumberFormat="1"/>
    <xf numFmtId="0" fontId="7" fillId="3" borderId="41" xfId="0" applyFont="1" applyFill="1" applyBorder="1"/>
    <xf numFmtId="0" fontId="7" fillId="3" borderId="41" xfId="0" applyFont="1" applyFill="1" applyBorder="1" applyAlignment="1">
      <alignment horizontal="center" wrapText="1"/>
    </xf>
    <xf numFmtId="0" fontId="6" fillId="0" borderId="41" xfId="0" applyFont="1" applyBorder="1"/>
    <xf numFmtId="10" fontId="0" fillId="4" borderId="41" xfId="0" applyNumberFormat="1" applyFill="1" applyBorder="1" applyAlignment="1">
      <alignment horizontal="center"/>
    </xf>
    <xf numFmtId="0" fontId="0" fillId="5" borderId="41" xfId="0" applyFill="1" applyBorder="1" applyAlignment="1">
      <alignment horizontal="center"/>
    </xf>
    <xf numFmtId="0" fontId="8" fillId="0" borderId="41" xfId="0" applyFont="1" applyBorder="1"/>
    <xf numFmtId="0" fontId="14" fillId="9" borderId="40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4" xfId="0" applyBorder="1"/>
    <xf numFmtId="0" fontId="0" fillId="2" borderId="41" xfId="0" applyFill="1" applyBorder="1" applyAlignment="1">
      <alignment horizontal="center"/>
    </xf>
    <xf numFmtId="0" fontId="0" fillId="0" borderId="9" xfId="0" applyBorder="1"/>
    <xf numFmtId="0" fontId="0" fillId="0" borderId="5" xfId="0" applyBorder="1"/>
    <xf numFmtId="0" fontId="0" fillId="14" borderId="1" xfId="0" applyFill="1" applyBorder="1" applyAlignment="1">
      <alignment horizontal="center"/>
    </xf>
    <xf numFmtId="0" fontId="0" fillId="0" borderId="4" xfId="0" applyBorder="1"/>
    <xf numFmtId="0" fontId="0" fillId="0" borderId="1" xfId="0" applyBorder="1" applyAlignment="1">
      <alignment horizontal="center"/>
    </xf>
    <xf numFmtId="0" fontId="0" fillId="0" borderId="35" xfId="0" applyBorder="1"/>
    <xf numFmtId="0" fontId="0" fillId="2" borderId="34" xfId="0" applyFill="1" applyBorder="1" applyAlignment="1">
      <alignment horizontal="center"/>
    </xf>
    <xf numFmtId="0" fontId="0" fillId="0" borderId="36" xfId="0" applyBorder="1"/>
    <xf numFmtId="0" fontId="0" fillId="0" borderId="37" xfId="0" applyBorder="1"/>
    <xf numFmtId="0" fontId="0" fillId="0" borderId="22" xfId="0" applyAlignment="1">
      <alignment horizontal="center" vertical="center" wrapText="1"/>
    </xf>
    <xf numFmtId="0" fontId="0" fillId="0" borderId="22" xfId="0"/>
    <xf numFmtId="0" fontId="11" fillId="7" borderId="23" xfId="0" applyFont="1" applyFill="1" applyBorder="1" applyAlignment="1" applyProtection="1">
      <alignment horizontal="center" vertical="center"/>
      <protection locked="0"/>
    </xf>
    <xf numFmtId="0" fontId="0" fillId="0" borderId="38" xfId="0" applyBorder="1" applyProtection="1">
      <protection locked="0"/>
    </xf>
    <xf numFmtId="0" fontId="0" fillId="0" borderId="39" xfId="0" applyBorder="1" applyProtection="1">
      <protection locked="0"/>
    </xf>
    <xf numFmtId="0" fontId="9" fillId="3" borderId="2" xfId="0" applyFont="1" applyFill="1" applyBorder="1" applyAlignment="1">
      <alignment horizontal="left" vertical="center"/>
    </xf>
    <xf numFmtId="0" fontId="9" fillId="3" borderId="38" xfId="0" applyFont="1" applyFill="1" applyBorder="1" applyAlignment="1">
      <alignment horizontal="left" vertical="center"/>
    </xf>
    <xf numFmtId="0" fontId="19" fillId="3" borderId="38" xfId="0" applyFont="1" applyFill="1" applyBorder="1" applyAlignment="1">
      <alignment horizontal="left" vertical="center"/>
    </xf>
    <xf numFmtId="0" fontId="19" fillId="3" borderId="3" xfId="0" applyFont="1" applyFill="1" applyBorder="1" applyAlignment="1">
      <alignment horizontal="left" vertical="center"/>
    </xf>
    <xf numFmtId="0" fontId="4" fillId="2" borderId="22" xfId="0" applyFont="1" applyFill="1" applyAlignment="1">
      <alignment horizontal="left"/>
    </xf>
    <xf numFmtId="0" fontId="0" fillId="2" borderId="22" xfId="0" applyFill="1"/>
    <xf numFmtId="0" fontId="0" fillId="0" borderId="31" xfId="0" applyBorder="1" applyAlignment="1">
      <alignment horizontal="center"/>
    </xf>
    <xf numFmtId="0" fontId="0" fillId="0" borderId="42" xfId="0" applyBorder="1"/>
    <xf numFmtId="0" fontId="0" fillId="14" borderId="34" xfId="0" applyFill="1" applyBorder="1" applyAlignment="1">
      <alignment horizontal="center"/>
    </xf>
    <xf numFmtId="0" fontId="19" fillId="3" borderId="41" xfId="0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41" xfId="0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4"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5</xdr:col>
      <xdr:colOff>106680</xdr:colOff>
      <xdr:row>8</xdr:row>
      <xdr:rowOff>180023</xdr:rowOff>
    </xdr:to>
    <xdr:sp macro="StartOffer" textlink="">
      <xdr:nvSpPr>
        <xdr:cNvPr id="2" name="btn_Start">
          <a:extLst>
            <a:ext uri="{FF2B5EF4-FFF2-40B4-BE49-F238E27FC236}">
              <a16:creationId xmlns:a16="http://schemas.microsoft.com/office/drawing/2014/main" id="{DA46DD85-BC22-BE03-94ED-7D57CB485740}"/>
            </a:ext>
          </a:extLst>
        </xdr:cNvPr>
        <xdr:cNvSpPr/>
      </xdr:nvSpPr>
      <xdr:spPr>
        <a:xfrm>
          <a:off x="5695950" y="2152650"/>
          <a:ext cx="640080" cy="180023"/>
        </a:xfrm>
        <a:prstGeom prst="rect">
          <a:avLst/>
        </a:prstGeom>
        <a:solidFill>
          <a:srgbClr val="B6752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900" b="1">
              <a:solidFill>
                <a:srgbClr val="FFFFFF"/>
              </a:solidFill>
            </a:rPr>
            <a:t>START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106680</xdr:colOff>
      <xdr:row>5</xdr:row>
      <xdr:rowOff>214313</xdr:rowOff>
    </xdr:to>
    <xdr:sp macro="LogOffer" textlink="">
      <xdr:nvSpPr>
        <xdr:cNvPr id="3" name="btn_Log">
          <a:extLst>
            <a:ext uri="{FF2B5EF4-FFF2-40B4-BE49-F238E27FC236}">
              <a16:creationId xmlns:a16="http://schemas.microsoft.com/office/drawing/2014/main" id="{CE96F8D0-B5F6-45C2-034E-84EB339E98C4}"/>
            </a:ext>
          </a:extLst>
        </xdr:cNvPr>
        <xdr:cNvSpPr/>
      </xdr:nvSpPr>
      <xdr:spPr>
        <a:xfrm>
          <a:off x="5695950" y="1190625"/>
          <a:ext cx="640080" cy="214313"/>
        </a:xfrm>
        <a:prstGeom prst="rect">
          <a:avLst/>
        </a:prstGeom>
        <a:solidFill>
          <a:srgbClr val="1F2E4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900" b="1">
              <a:solidFill>
                <a:srgbClr val="FFFFFF"/>
              </a:solidFill>
            </a:rPr>
            <a:t>LOG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Q111"/>
  <sheetViews>
    <sheetView tabSelected="1" zoomScale="115" zoomScaleNormal="115" workbookViewId="0">
      <selection activeCell="E7" sqref="E7"/>
    </sheetView>
  </sheetViews>
  <sheetFormatPr defaultColWidth="11.42578125" defaultRowHeight="15" x14ac:dyDescent="0.25"/>
  <cols>
    <col min="1" max="1" width="3" customWidth="1"/>
    <col min="2" max="2" width="32" customWidth="1"/>
    <col min="3" max="3" width="8.42578125" customWidth="1"/>
    <col min="4" max="4" width="42" bestFit="1" customWidth="1"/>
    <col min="5" max="5" width="8.5703125" customWidth="1"/>
    <col min="6" max="6" width="10" bestFit="1" customWidth="1"/>
    <col min="7" max="7" width="12" customWidth="1"/>
    <col min="8" max="8" width="14" bestFit="1" customWidth="1"/>
    <col min="9" max="9" width="14" customWidth="1"/>
    <col min="10" max="10" width="12" customWidth="1"/>
    <col min="11" max="11" width="3" style="1" customWidth="1"/>
    <col min="12" max="12" width="22" style="1" customWidth="1"/>
    <col min="13" max="13" width="51.7109375" style="1" customWidth="1"/>
    <col min="14" max="16" width="3" style="1" customWidth="1"/>
  </cols>
  <sheetData>
    <row r="1" spans="1:13" ht="21.95" customHeight="1" thickBot="1" x14ac:dyDescent="0.3">
      <c r="A1" s="24"/>
      <c r="B1" s="109" t="s">
        <v>0</v>
      </c>
      <c r="C1" s="116"/>
      <c r="D1" s="110"/>
      <c r="E1" s="24"/>
      <c r="F1" s="24"/>
      <c r="G1" s="24"/>
      <c r="H1" s="24"/>
      <c r="I1" s="24"/>
      <c r="J1" s="24"/>
      <c r="K1" s="24"/>
      <c r="L1" s="24"/>
      <c r="M1" s="24"/>
    </row>
    <row r="2" spans="1:13" ht="18" customHeight="1" x14ac:dyDescent="0.25">
      <c r="A2" s="24"/>
      <c r="B2" s="108" t="s">
        <v>1</v>
      </c>
      <c r="C2" s="106" t="s">
        <v>2</v>
      </c>
      <c r="D2" s="107">
        <f ca="1">IF(C2="Check",TODAY(),"")</f>
        <v>46149</v>
      </c>
      <c r="E2" s="24"/>
      <c r="F2" s="24"/>
      <c r="G2" s="24"/>
      <c r="H2" s="24"/>
      <c r="I2" s="24"/>
      <c r="J2" s="24"/>
      <c r="K2" s="24"/>
      <c r="L2" s="24"/>
      <c r="M2" s="24"/>
    </row>
    <row r="3" spans="1:13" ht="18" customHeight="1" x14ac:dyDescent="0.25">
      <c r="A3" s="24"/>
      <c r="B3" s="102" t="s">
        <v>3</v>
      </c>
      <c r="C3" s="117" t="s">
        <v>2</v>
      </c>
      <c r="D3" s="103">
        <f ca="1">IF(C3="Check",TODAY(),"")</f>
        <v>46149</v>
      </c>
      <c r="E3" s="24"/>
      <c r="F3" s="24"/>
      <c r="G3" s="24"/>
      <c r="H3" s="24"/>
      <c r="I3" s="24"/>
      <c r="J3" s="24"/>
      <c r="K3" s="24"/>
      <c r="L3" s="24"/>
      <c r="M3" s="24"/>
    </row>
    <row r="4" spans="1:13" ht="18" customHeight="1" x14ac:dyDescent="0.25">
      <c r="A4" s="24"/>
      <c r="B4" s="102" t="s">
        <v>4</v>
      </c>
      <c r="C4" s="117" t="s">
        <v>2</v>
      </c>
      <c r="D4" s="103">
        <f ca="1">IF(C4="Check",TODAY(),"")</f>
        <v>46149</v>
      </c>
      <c r="E4" s="24"/>
      <c r="F4" s="24"/>
      <c r="G4" s="24"/>
      <c r="H4" s="24"/>
      <c r="I4" s="24"/>
      <c r="J4" s="24"/>
      <c r="K4" s="24"/>
      <c r="L4" s="24"/>
      <c r="M4" s="24"/>
    </row>
    <row r="5" spans="1:13" ht="18" customHeight="1" x14ac:dyDescent="0.25">
      <c r="A5" s="24"/>
      <c r="B5" s="102" t="s">
        <v>5</v>
      </c>
      <c r="C5" s="117" t="s">
        <v>2</v>
      </c>
      <c r="D5" s="103">
        <f ca="1">IF(C5="Check",TODAY(),"")</f>
        <v>46149</v>
      </c>
      <c r="E5" s="24"/>
      <c r="F5" s="24"/>
      <c r="G5" s="24"/>
      <c r="H5" s="24"/>
      <c r="I5" s="24"/>
      <c r="J5" s="24"/>
      <c r="K5" s="24"/>
      <c r="L5" s="24"/>
      <c r="M5" s="24"/>
    </row>
    <row r="6" spans="1:13" ht="18.75" customHeight="1" thickBot="1" x14ac:dyDescent="0.3">
      <c r="A6" s="24"/>
      <c r="B6" s="104" t="s">
        <v>6</v>
      </c>
      <c r="C6" s="118" t="s">
        <v>7</v>
      </c>
      <c r="D6" s="105" t="str">
        <f ca="1">IF(C6&lt;&gt;"Open",TODAY(),"")</f>
        <v/>
      </c>
      <c r="E6" s="24"/>
      <c r="F6" s="24"/>
      <c r="G6" s="24"/>
      <c r="H6" s="24"/>
      <c r="I6" s="24"/>
      <c r="J6" s="24"/>
      <c r="K6" s="24"/>
      <c r="L6" s="24"/>
      <c r="M6" s="24"/>
    </row>
    <row r="7" spans="1:13" ht="32.1" customHeight="1" thickBot="1" x14ac:dyDescent="0.3">
      <c r="A7" s="24"/>
      <c r="B7" s="209" t="s">
        <v>8</v>
      </c>
      <c r="C7" s="210"/>
      <c r="D7" s="211"/>
      <c r="E7" s="24"/>
      <c r="F7" s="24"/>
      <c r="G7" s="24"/>
      <c r="H7" s="24"/>
      <c r="I7" s="24"/>
      <c r="J7" s="24"/>
      <c r="K7" s="24"/>
      <c r="L7" s="24"/>
      <c r="M7" s="24"/>
    </row>
    <row r="8" spans="1:13" ht="26.1" customHeight="1" thickBot="1" x14ac:dyDescent="0.3">
      <c r="A8" s="24"/>
      <c r="B8" s="119" t="s">
        <v>9</v>
      </c>
      <c r="C8" s="120"/>
      <c r="D8" s="13"/>
      <c r="E8" s="24"/>
      <c r="F8" s="24"/>
      <c r="G8" s="24"/>
      <c r="H8" s="24"/>
      <c r="I8" s="24"/>
      <c r="J8" s="24"/>
      <c r="K8" s="24"/>
      <c r="L8" s="2" t="s">
        <v>10</v>
      </c>
      <c r="M8" s="3"/>
    </row>
    <row r="9" spans="1:13" ht="15.95" customHeight="1" x14ac:dyDescent="0.25">
      <c r="A9" s="24"/>
      <c r="B9" s="119" t="s">
        <v>11</v>
      </c>
      <c r="C9" s="120"/>
      <c r="D9" s="14"/>
      <c r="E9" s="24"/>
      <c r="F9" s="24"/>
      <c r="G9" s="24"/>
      <c r="H9" s="24"/>
      <c r="I9" s="24"/>
      <c r="J9" s="24"/>
      <c r="K9" s="24"/>
      <c r="L9" s="121" t="s">
        <v>12</v>
      </c>
      <c r="M9" s="122" t="s">
        <v>13</v>
      </c>
    </row>
    <row r="10" spans="1:13" ht="15.95" customHeight="1" x14ac:dyDescent="0.25">
      <c r="A10" s="24"/>
      <c r="B10" s="123" t="s">
        <v>14</v>
      </c>
      <c r="C10" s="124"/>
      <c r="D10" s="15"/>
      <c r="E10" s="24"/>
      <c r="F10" s="24"/>
      <c r="G10" s="24"/>
      <c r="H10" s="24"/>
      <c r="I10" s="24"/>
      <c r="J10" s="24"/>
      <c r="K10" s="24"/>
      <c r="L10" s="125" t="s">
        <v>15</v>
      </c>
      <c r="M10" s="122" t="s">
        <v>16</v>
      </c>
    </row>
    <row r="11" spans="1:13" ht="15.95" customHeight="1" x14ac:dyDescent="0.25">
      <c r="A11" s="24"/>
      <c r="B11" s="123" t="s">
        <v>17</v>
      </c>
      <c r="C11" s="124"/>
      <c r="D11" s="16"/>
      <c r="E11" s="24"/>
      <c r="F11" s="24"/>
      <c r="G11" s="24"/>
      <c r="H11" s="24"/>
      <c r="I11" s="24"/>
      <c r="J11" s="24"/>
      <c r="K11" s="24"/>
      <c r="L11" s="126" t="s">
        <v>18</v>
      </c>
      <c r="M11" s="122" t="s">
        <v>19</v>
      </c>
    </row>
    <row r="12" spans="1:13" ht="15.95" customHeight="1" x14ac:dyDescent="0.25">
      <c r="A12" s="24"/>
      <c r="B12" s="123" t="s">
        <v>20</v>
      </c>
      <c r="C12" s="124"/>
      <c r="D12" s="15"/>
      <c r="E12" s="24"/>
      <c r="F12" s="24"/>
      <c r="G12" s="24"/>
      <c r="H12" s="24"/>
      <c r="I12" s="24"/>
      <c r="J12" s="24"/>
      <c r="K12" s="24"/>
      <c r="L12" s="127" t="s">
        <v>21</v>
      </c>
      <c r="M12" s="122" t="s">
        <v>22</v>
      </c>
    </row>
    <row r="13" spans="1:13" ht="15.95" customHeight="1" thickBot="1" x14ac:dyDescent="0.3">
      <c r="A13" s="24"/>
      <c r="B13" s="128" t="s">
        <v>23</v>
      </c>
      <c r="C13" s="129"/>
      <c r="D13" s="4"/>
      <c r="E13" s="24"/>
      <c r="F13" s="24"/>
      <c r="G13" s="24"/>
      <c r="H13" s="24"/>
      <c r="I13" s="24"/>
      <c r="J13" s="24"/>
      <c r="K13" s="24"/>
      <c r="L13" s="130" t="s">
        <v>24</v>
      </c>
      <c r="M13" s="122" t="s">
        <v>25</v>
      </c>
    </row>
    <row r="14" spans="1:13" ht="18" customHeight="1" x14ac:dyDescent="0.25">
      <c r="A14" s="24"/>
      <c r="B14" s="119" t="s">
        <v>26</v>
      </c>
      <c r="C14" s="120"/>
      <c r="D14" s="17"/>
      <c r="E14" s="24"/>
      <c r="F14" s="24"/>
      <c r="G14" s="24"/>
      <c r="H14" s="24"/>
      <c r="I14" s="24"/>
      <c r="J14" s="24"/>
      <c r="K14" s="24"/>
      <c r="L14" s="131" t="s">
        <v>28</v>
      </c>
      <c r="M14" s="132"/>
    </row>
    <row r="15" spans="1:13" ht="17.100000000000001" customHeight="1" x14ac:dyDescent="0.25">
      <c r="A15" s="24"/>
      <c r="B15" s="123" t="s">
        <v>29</v>
      </c>
      <c r="C15" s="124"/>
      <c r="D15" s="18"/>
      <c r="E15" s="24"/>
      <c r="F15" s="24"/>
      <c r="G15" s="24"/>
      <c r="H15" s="24"/>
      <c r="I15" s="24"/>
      <c r="J15" s="24"/>
      <c r="K15" s="24"/>
      <c r="L15" s="133" t="s">
        <v>31</v>
      </c>
      <c r="M15" s="134" t="s">
        <v>32</v>
      </c>
    </row>
    <row r="16" spans="1:13" ht="17.100000000000001" customHeight="1" x14ac:dyDescent="0.25">
      <c r="A16" s="24"/>
      <c r="B16" s="123" t="s">
        <v>33</v>
      </c>
      <c r="C16" s="124"/>
      <c r="D16" s="18"/>
      <c r="E16" s="24"/>
      <c r="F16" s="24"/>
      <c r="G16" s="24"/>
      <c r="H16" s="24"/>
      <c r="I16" s="24"/>
      <c r="J16" s="24"/>
      <c r="K16" s="24"/>
      <c r="L16" s="133" t="s">
        <v>35</v>
      </c>
      <c r="M16" s="134" t="s">
        <v>36</v>
      </c>
    </row>
    <row r="17" spans="1:17" ht="17.100000000000001" customHeight="1" thickBot="1" x14ac:dyDescent="0.3">
      <c r="A17" s="24"/>
      <c r="B17" s="128" t="s">
        <v>37</v>
      </c>
      <c r="C17" s="129"/>
      <c r="D17" s="19"/>
      <c r="E17" s="24"/>
      <c r="F17" s="24"/>
      <c r="G17" s="24"/>
      <c r="H17" s="24"/>
      <c r="I17" s="24"/>
      <c r="J17" s="24"/>
      <c r="K17" s="24"/>
      <c r="L17" s="133" t="s">
        <v>38</v>
      </c>
      <c r="M17" s="134" t="s">
        <v>39</v>
      </c>
      <c r="N17" s="24"/>
      <c r="O17" s="24"/>
      <c r="P17" s="24"/>
      <c r="Q17" s="135"/>
    </row>
    <row r="18" spans="1:17" ht="17.100000000000001" customHeight="1" x14ac:dyDescent="0.25">
      <c r="A18" s="24"/>
      <c r="B18" s="119" t="s">
        <v>40</v>
      </c>
      <c r="C18" s="120"/>
      <c r="D18" s="5" t="e">
        <f>+I88</f>
        <v>#N/A</v>
      </c>
      <c r="E18" s="24"/>
      <c r="F18" s="24"/>
      <c r="G18" s="24"/>
      <c r="H18" s="24"/>
      <c r="I18" s="24"/>
      <c r="J18" s="24"/>
      <c r="K18" s="24"/>
      <c r="L18" s="133" t="s">
        <v>41</v>
      </c>
      <c r="M18" s="134" t="s">
        <v>42</v>
      </c>
      <c r="N18" s="24"/>
      <c r="O18" s="24"/>
      <c r="P18" s="24"/>
      <c r="Q18" s="135"/>
    </row>
    <row r="19" spans="1:17" ht="17.100000000000001" customHeight="1" x14ac:dyDescent="0.25">
      <c r="A19" s="24"/>
      <c r="B19" s="136" t="s">
        <v>43</v>
      </c>
      <c r="C19" s="124"/>
      <c r="D19" s="6" t="e">
        <f>+I84</f>
        <v>#N/A</v>
      </c>
      <c r="E19" s="24"/>
      <c r="F19" s="24"/>
      <c r="G19" s="24"/>
      <c r="H19" s="24"/>
      <c r="I19" s="24"/>
      <c r="J19" s="24"/>
      <c r="K19" s="24"/>
      <c r="L19" s="133" t="s">
        <v>44</v>
      </c>
      <c r="M19" s="134" t="s">
        <v>45</v>
      </c>
      <c r="N19" s="24"/>
      <c r="O19" s="24"/>
      <c r="P19" s="24"/>
      <c r="Q19" s="135"/>
    </row>
    <row r="20" spans="1:17" ht="17.100000000000001" customHeight="1" thickBot="1" x14ac:dyDescent="0.3">
      <c r="A20" s="24"/>
      <c r="B20" s="136" t="s">
        <v>46</v>
      </c>
      <c r="C20" s="124"/>
      <c r="D20" s="6" t="e">
        <f>+I89</f>
        <v>#N/A</v>
      </c>
      <c r="E20" s="24"/>
      <c r="F20" s="24"/>
      <c r="G20" s="24"/>
      <c r="H20" s="24"/>
      <c r="I20" s="24"/>
      <c r="J20" s="24"/>
      <c r="K20" s="24"/>
      <c r="L20" s="137" t="s">
        <v>47</v>
      </c>
      <c r="M20" s="138" t="s">
        <v>48</v>
      </c>
      <c r="N20" s="24"/>
      <c r="O20" s="24"/>
      <c r="P20" s="24"/>
      <c r="Q20" s="135"/>
    </row>
    <row r="21" spans="1:17" ht="18" customHeight="1" x14ac:dyDescent="0.25">
      <c r="A21" s="24"/>
      <c r="B21" s="136" t="s">
        <v>49</v>
      </c>
      <c r="C21" s="124"/>
      <c r="D21" s="20" t="e">
        <f>+I90</f>
        <v>#N/A</v>
      </c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135"/>
    </row>
    <row r="22" spans="1:17" ht="18" customHeight="1" x14ac:dyDescent="0.25">
      <c r="A22" s="24"/>
      <c r="B22" s="123" t="s">
        <v>50</v>
      </c>
      <c r="C22" s="124"/>
      <c r="D22" s="21" t="e">
        <f>+I92</f>
        <v>#N/A</v>
      </c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135"/>
    </row>
    <row r="23" spans="1:17" ht="18" customHeight="1" thickBot="1" x14ac:dyDescent="0.3">
      <c r="A23" s="139"/>
      <c r="B23" s="140" t="s">
        <v>51</v>
      </c>
      <c r="C23" s="129"/>
      <c r="D23" s="22" t="e">
        <f>+I93</f>
        <v>#N/A</v>
      </c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135"/>
    </row>
    <row r="24" spans="1:17" ht="20.25" customHeight="1" thickBot="1" x14ac:dyDescent="0.3">
      <c r="A24" s="24"/>
      <c r="B24" s="24"/>
      <c r="C24" s="24"/>
      <c r="D24" s="141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135"/>
    </row>
    <row r="25" spans="1:17" ht="45" customHeight="1" thickBot="1" x14ac:dyDescent="0.35">
      <c r="A25" s="24"/>
      <c r="B25" s="224" t="s">
        <v>229</v>
      </c>
      <c r="C25" s="225"/>
      <c r="D25" s="225"/>
      <c r="E25" s="225"/>
      <c r="F25" s="225"/>
      <c r="G25" s="225"/>
      <c r="H25" s="226"/>
      <c r="I25" s="23"/>
      <c r="J25" s="24"/>
      <c r="K25" s="24"/>
      <c r="L25" s="111" t="s">
        <v>52</v>
      </c>
      <c r="M25" s="142" t="s">
        <v>53</v>
      </c>
      <c r="N25" s="24"/>
      <c r="O25" s="24"/>
      <c r="P25" s="24"/>
      <c r="Q25" s="135"/>
    </row>
    <row r="26" spans="1:17" ht="11.25" customHeight="1" x14ac:dyDescent="0.25">
      <c r="A26" s="24"/>
      <c r="B26" s="24"/>
      <c r="C26" s="24"/>
      <c r="D26" s="24"/>
      <c r="E26" s="25"/>
      <c r="F26" s="25"/>
      <c r="G26" s="25"/>
      <c r="H26" s="25"/>
      <c r="I26" s="25"/>
      <c r="J26" s="25"/>
      <c r="K26" s="24"/>
      <c r="L26" s="24"/>
      <c r="M26" s="24"/>
      <c r="N26" s="24"/>
      <c r="O26" s="24"/>
      <c r="P26" s="24"/>
      <c r="Q26" s="24"/>
    </row>
    <row r="27" spans="1:17" ht="12" customHeight="1" x14ac:dyDescent="0.25">
      <c r="A27" s="24"/>
      <c r="B27" s="222"/>
      <c r="C27" s="26"/>
      <c r="D27" s="25"/>
      <c r="E27" s="25"/>
      <c r="F27" s="25"/>
      <c r="G27" s="25"/>
      <c r="H27" s="25"/>
      <c r="I27" s="25"/>
      <c r="J27" s="25"/>
      <c r="K27" s="24"/>
      <c r="L27" s="24"/>
      <c r="M27" s="24"/>
      <c r="N27" s="24"/>
      <c r="O27" s="24"/>
      <c r="P27" s="24"/>
      <c r="Q27" s="135"/>
    </row>
    <row r="28" spans="1:17" ht="3.95" customHeight="1" thickBot="1" x14ac:dyDescent="0.3">
      <c r="A28" s="24"/>
      <c r="B28" s="223"/>
      <c r="C28" s="27"/>
      <c r="D28" s="24"/>
      <c r="E28" s="24"/>
      <c r="F28" s="24"/>
      <c r="G28" s="24"/>
      <c r="H28" s="28"/>
      <c r="I28" s="28"/>
      <c r="J28" s="28"/>
      <c r="K28" s="24"/>
      <c r="L28" s="24"/>
      <c r="M28" s="24"/>
      <c r="N28" s="24"/>
      <c r="O28" s="24"/>
      <c r="P28" s="24"/>
      <c r="Q28" s="135"/>
    </row>
    <row r="29" spans="1:17" ht="26.1" customHeight="1" thickBot="1" x14ac:dyDescent="0.3">
      <c r="A29" s="24"/>
      <c r="B29" s="223"/>
      <c r="C29" s="29"/>
      <c r="D29" s="30"/>
      <c r="E29" s="30"/>
      <c r="F29" s="30"/>
      <c r="G29" s="30"/>
      <c r="H29" s="31"/>
      <c r="I29" s="31"/>
      <c r="J29" s="32"/>
      <c r="K29" s="24"/>
      <c r="L29" s="24"/>
      <c r="M29" s="24"/>
      <c r="N29" s="24"/>
      <c r="O29" s="24"/>
      <c r="P29" s="24"/>
      <c r="Q29" s="135"/>
    </row>
    <row r="30" spans="1:17" ht="20.100000000000001" customHeight="1" x14ac:dyDescent="0.25">
      <c r="A30" s="24"/>
      <c r="B30" s="223"/>
      <c r="C30" s="143"/>
      <c r="D30" s="144" t="s">
        <v>54</v>
      </c>
      <c r="E30" s="144" t="s">
        <v>55</v>
      </c>
      <c r="F30" s="144" t="s">
        <v>56</v>
      </c>
      <c r="G30" s="144" t="s">
        <v>57</v>
      </c>
      <c r="H30" s="145" t="s">
        <v>58</v>
      </c>
      <c r="I30" s="38">
        <f>$D$16</f>
        <v>0</v>
      </c>
      <c r="J30" s="146"/>
      <c r="K30" s="24"/>
      <c r="L30" s="24"/>
      <c r="M30" s="24"/>
      <c r="N30" s="24"/>
      <c r="O30" s="24"/>
      <c r="P30" s="24"/>
      <c r="Q30" s="135"/>
    </row>
    <row r="31" spans="1:17" ht="20.100000000000001" customHeight="1" thickBot="1" x14ac:dyDescent="0.3">
      <c r="A31" s="24"/>
      <c r="B31" s="223"/>
      <c r="C31" s="39" t="s">
        <v>59</v>
      </c>
      <c r="D31" s="147" t="s">
        <v>60</v>
      </c>
      <c r="E31" s="147"/>
      <c r="F31" s="147"/>
      <c r="G31" s="147" t="s">
        <v>56</v>
      </c>
      <c r="H31" s="148" t="s">
        <v>61</v>
      </c>
      <c r="I31" s="148" t="s">
        <v>62</v>
      </c>
      <c r="J31" s="40" t="s">
        <v>63</v>
      </c>
      <c r="K31" s="24"/>
      <c r="L31" s="24"/>
      <c r="M31" s="24"/>
      <c r="N31" s="24"/>
      <c r="O31" s="24"/>
      <c r="P31" s="24"/>
      <c r="Q31" s="135"/>
    </row>
    <row r="32" spans="1:17" ht="15" customHeight="1" x14ac:dyDescent="0.25">
      <c r="A32" s="24"/>
      <c r="B32" s="223"/>
      <c r="C32" s="149">
        <v>1</v>
      </c>
      <c r="D32" s="58" t="s">
        <v>64</v>
      </c>
      <c r="E32" s="59">
        <v>1938</v>
      </c>
      <c r="F32" s="60" t="s">
        <v>65</v>
      </c>
      <c r="G32" s="59">
        <v>4.3499999999999996</v>
      </c>
      <c r="H32" s="61" t="s">
        <v>34</v>
      </c>
      <c r="I32" s="62" t="e">
        <f>+E32*G32*VLOOKUP($D$16,FX_Rates!$A:$C,IF($B$25="Frozen",3,2),FALSE)/VLOOKUP(H32,FX_Rates!$A:$C,IF($B$25="Frozen",3,2),FALSE)</f>
        <v>#N/A</v>
      </c>
      <c r="J32" s="150"/>
      <c r="K32" s="24"/>
      <c r="L32" s="24"/>
      <c r="M32" s="24"/>
      <c r="N32" s="24"/>
      <c r="O32" s="24"/>
      <c r="P32" s="24"/>
      <c r="Q32" s="135"/>
    </row>
    <row r="33" spans="1:10" ht="15" customHeight="1" x14ac:dyDescent="0.25">
      <c r="A33" s="24"/>
      <c r="B33" s="223"/>
      <c r="C33" s="55">
        <v>2</v>
      </c>
      <c r="D33" s="151" t="s">
        <v>66</v>
      </c>
      <c r="E33" s="152">
        <v>35</v>
      </c>
      <c r="F33" s="153" t="s">
        <v>65</v>
      </c>
      <c r="G33" s="152">
        <v>4.5</v>
      </c>
      <c r="H33" s="154" t="s">
        <v>34</v>
      </c>
      <c r="I33" s="155" t="e">
        <f>+E33*G33*VLOOKUP($D$16,FX_Rates!$A:$C,IF($B$25="Frozen",3,2),FALSE)/VLOOKUP(H33,FX_Rates!$A:$C,IF($B$25="Frozen",3,2),FALSE)</f>
        <v>#N/A</v>
      </c>
      <c r="J33" s="56"/>
    </row>
    <row r="34" spans="1:10" ht="15" customHeight="1" x14ac:dyDescent="0.25">
      <c r="A34" s="24"/>
      <c r="B34" s="223"/>
      <c r="C34" s="156">
        <v>3</v>
      </c>
      <c r="D34" s="151" t="s">
        <v>67</v>
      </c>
      <c r="E34" s="152">
        <v>110</v>
      </c>
      <c r="F34" s="153" t="s">
        <v>68</v>
      </c>
      <c r="G34" s="152">
        <v>0.59</v>
      </c>
      <c r="H34" s="154" t="s">
        <v>34</v>
      </c>
      <c r="I34" s="155" t="e">
        <f>+E34*G34*VLOOKUP($D$16,FX_Rates!$A:$C,IF($B$25="Frozen",3,2),FALSE)/VLOOKUP(H34,FX_Rates!$A:$C,IF($B$25="Frozen",3,2),FALSE)</f>
        <v>#N/A</v>
      </c>
      <c r="J34" s="157"/>
    </row>
    <row r="35" spans="1:10" ht="15" customHeight="1" x14ac:dyDescent="0.25">
      <c r="A35" s="24"/>
      <c r="B35" s="223"/>
      <c r="C35" s="55">
        <v>4</v>
      </c>
      <c r="D35" s="151" t="s">
        <v>69</v>
      </c>
      <c r="E35" s="152">
        <v>3865</v>
      </c>
      <c r="F35" s="153" t="s">
        <v>68</v>
      </c>
      <c r="G35" s="152">
        <v>0.35</v>
      </c>
      <c r="H35" s="154" t="s">
        <v>34</v>
      </c>
      <c r="I35" s="155" t="e">
        <f>+E35*G35*VLOOKUP($D$16,FX_Rates!$A:$C,IF($B$25="Frozen",3,2),FALSE)/VLOOKUP(H35,FX_Rates!$A:$C,IF($B$25="Frozen",3,2),FALSE)</f>
        <v>#N/A</v>
      </c>
      <c r="J35" s="56"/>
    </row>
    <row r="36" spans="1:10" ht="15" customHeight="1" x14ac:dyDescent="0.25">
      <c r="A36" s="24"/>
      <c r="B36" s="223"/>
      <c r="C36" s="156">
        <v>5</v>
      </c>
      <c r="D36" s="151" t="s">
        <v>70</v>
      </c>
      <c r="E36" s="152">
        <v>15</v>
      </c>
      <c r="F36" s="153" t="s">
        <v>68</v>
      </c>
      <c r="G36" s="152">
        <v>0.56000000000000005</v>
      </c>
      <c r="H36" s="154" t="s">
        <v>34</v>
      </c>
      <c r="I36" s="155" t="e">
        <f>+E36*G36*VLOOKUP($D$16,FX_Rates!$A:$C,IF($B$25="Frozen",3,2),FALSE)/VLOOKUP(H36,FX_Rates!$A:$C,IF($B$25="Frozen",3,2),FALSE)</f>
        <v>#N/A</v>
      </c>
      <c r="J36" s="157"/>
    </row>
    <row r="37" spans="1:10" ht="15" customHeight="1" x14ac:dyDescent="0.25">
      <c r="A37" s="24"/>
      <c r="B37" s="223"/>
      <c r="C37" s="55">
        <v>6</v>
      </c>
      <c r="D37" s="151" t="s">
        <v>71</v>
      </c>
      <c r="E37" s="152">
        <v>108</v>
      </c>
      <c r="F37" s="153" t="s">
        <v>68</v>
      </c>
      <c r="G37" s="152">
        <v>0.12</v>
      </c>
      <c r="H37" s="154" t="s">
        <v>34</v>
      </c>
      <c r="I37" s="155" t="e">
        <f>+E37*G37*VLOOKUP($D$16,FX_Rates!$A:$C,IF($B$25="Frozen",3,2),FALSE)/VLOOKUP(H37,FX_Rates!$A:$C,IF($B$25="Frozen",3,2),FALSE)</f>
        <v>#N/A</v>
      </c>
      <c r="J37" s="56"/>
    </row>
    <row r="38" spans="1:10" ht="15" customHeight="1" x14ac:dyDescent="0.25">
      <c r="A38" s="24"/>
      <c r="B38" s="223"/>
      <c r="C38" s="156">
        <v>7</v>
      </c>
      <c r="D38" s="151" t="s">
        <v>72</v>
      </c>
      <c r="E38" s="152">
        <v>15</v>
      </c>
      <c r="F38" s="153" t="s">
        <v>68</v>
      </c>
      <c r="G38" s="152">
        <v>1.3</v>
      </c>
      <c r="H38" s="154" t="s">
        <v>34</v>
      </c>
      <c r="I38" s="155" t="e">
        <f>+E38*G38*VLOOKUP($D$16,FX_Rates!$A:$C,IF($B$25="Frozen",3,2),FALSE)/VLOOKUP(H38,FX_Rates!$A:$C,IF($B$25="Frozen",3,2),FALSE)</f>
        <v>#N/A</v>
      </c>
      <c r="J38" s="157"/>
    </row>
    <row r="39" spans="1:10" ht="15" customHeight="1" x14ac:dyDescent="0.25">
      <c r="A39" s="24"/>
      <c r="B39" s="223"/>
      <c r="C39" s="55">
        <v>8</v>
      </c>
      <c r="D39" s="151" t="s">
        <v>73</v>
      </c>
      <c r="E39" s="152">
        <v>15</v>
      </c>
      <c r="F39" s="153" t="s">
        <v>68</v>
      </c>
      <c r="G39" s="152">
        <v>1.69</v>
      </c>
      <c r="H39" s="154" t="s">
        <v>34</v>
      </c>
      <c r="I39" s="155" t="e">
        <f>+E39*G39*VLOOKUP($D$16,FX_Rates!$A:$C,IF($B$25="Frozen",3,2),FALSE)/VLOOKUP(H39,FX_Rates!$A:$C,IF($B$25="Frozen",3,2),FALSE)</f>
        <v>#N/A</v>
      </c>
      <c r="J39" s="56"/>
    </row>
    <row r="40" spans="1:10" ht="15" customHeight="1" x14ac:dyDescent="0.25">
      <c r="A40" s="24"/>
      <c r="B40" s="223"/>
      <c r="C40" s="156">
        <v>9</v>
      </c>
      <c r="D40" s="151" t="s">
        <v>74</v>
      </c>
      <c r="E40" s="152">
        <v>62</v>
      </c>
      <c r="F40" s="153" t="s">
        <v>75</v>
      </c>
      <c r="G40" s="152">
        <v>3.83</v>
      </c>
      <c r="H40" s="154" t="s">
        <v>34</v>
      </c>
      <c r="I40" s="155" t="e">
        <f>+E40*G40*VLOOKUP($D$16,FX_Rates!$A:$C,IF($B$25="Frozen",3,2),FALSE)/VLOOKUP(H40,FX_Rates!$A:$C,IF($B$25="Frozen",3,2),FALSE)</f>
        <v>#N/A</v>
      </c>
      <c r="J40" s="157"/>
    </row>
    <row r="41" spans="1:10" ht="15" customHeight="1" x14ac:dyDescent="0.25">
      <c r="A41" s="24"/>
      <c r="B41" s="223"/>
      <c r="C41" s="55">
        <v>10</v>
      </c>
      <c r="D41" s="151" t="s">
        <v>76</v>
      </c>
      <c r="E41" s="152">
        <v>1</v>
      </c>
      <c r="F41" s="153" t="s">
        <v>75</v>
      </c>
      <c r="G41" s="152">
        <v>45</v>
      </c>
      <c r="H41" s="154" t="s">
        <v>34</v>
      </c>
      <c r="I41" s="155" t="e">
        <f>+E41*G41*VLOOKUP($D$16,FX_Rates!$A:$C,IF($B$25="Frozen",3,2),FALSE)/VLOOKUP(H41,FX_Rates!$A:$C,IF($B$25="Frozen",3,2),FALSE)</f>
        <v>#N/A</v>
      </c>
      <c r="J41" s="56"/>
    </row>
    <row r="42" spans="1:10" ht="15" customHeight="1" x14ac:dyDescent="0.25">
      <c r="A42" s="24"/>
      <c r="B42" s="223"/>
      <c r="C42" s="156">
        <v>11</v>
      </c>
      <c r="D42" s="151" t="s">
        <v>77</v>
      </c>
      <c r="E42" s="152">
        <v>1</v>
      </c>
      <c r="F42" s="153" t="s">
        <v>75</v>
      </c>
      <c r="G42" s="152">
        <v>75</v>
      </c>
      <c r="H42" s="154" t="s">
        <v>34</v>
      </c>
      <c r="I42" s="155" t="e">
        <f>+E42*G42*VLOOKUP($D$16,FX_Rates!$A:$C,IF($B$25="Frozen",3,2),FALSE)/VLOOKUP(H42,FX_Rates!$A:$C,IF($B$25="Frozen",3,2),FALSE)</f>
        <v>#N/A</v>
      </c>
      <c r="J42" s="157"/>
    </row>
    <row r="43" spans="1:10" ht="15" customHeight="1" x14ac:dyDescent="0.25">
      <c r="A43" s="24"/>
      <c r="B43" s="223"/>
      <c r="C43" s="55">
        <v>12</v>
      </c>
      <c r="D43" s="151" t="s">
        <v>78</v>
      </c>
      <c r="E43" s="152">
        <v>1</v>
      </c>
      <c r="F43" s="153" t="s">
        <v>75</v>
      </c>
      <c r="G43" s="152">
        <v>24</v>
      </c>
      <c r="H43" s="154" t="s">
        <v>34</v>
      </c>
      <c r="I43" s="155" t="e">
        <f>+E43*G43*VLOOKUP($D$16,FX_Rates!$A:$C,IF($B$25="Frozen",3,2),FALSE)/VLOOKUP(H43,FX_Rates!$A:$C,IF($B$25="Frozen",3,2),FALSE)</f>
        <v>#N/A</v>
      </c>
      <c r="J43" s="56"/>
    </row>
    <row r="44" spans="1:10" ht="15" customHeight="1" x14ac:dyDescent="0.25">
      <c r="A44" s="24"/>
      <c r="B44" s="223"/>
      <c r="C44" s="156">
        <v>13</v>
      </c>
      <c r="D44" s="151" t="s">
        <v>79</v>
      </c>
      <c r="E44" s="152">
        <v>1</v>
      </c>
      <c r="F44" s="153" t="s">
        <v>75</v>
      </c>
      <c r="G44" s="152">
        <v>3.97</v>
      </c>
      <c r="H44" s="154" t="s">
        <v>34</v>
      </c>
      <c r="I44" s="155" t="e">
        <f>+E44*G44*VLOOKUP($D$16,FX_Rates!$A:$C,IF($B$25="Frozen",3,2),FALSE)/VLOOKUP(H44,FX_Rates!$A:$C,IF($B$25="Frozen",3,2),FALSE)</f>
        <v>#N/A</v>
      </c>
      <c r="J44" s="157"/>
    </row>
    <row r="45" spans="1:10" ht="15" customHeight="1" x14ac:dyDescent="0.25">
      <c r="A45" s="24"/>
      <c r="B45" s="223"/>
      <c r="C45" s="55">
        <v>14</v>
      </c>
      <c r="D45" s="151" t="s">
        <v>80</v>
      </c>
      <c r="E45" s="152">
        <v>8</v>
      </c>
      <c r="F45" s="153" t="s">
        <v>75</v>
      </c>
      <c r="G45" s="152">
        <v>22</v>
      </c>
      <c r="H45" s="154" t="s">
        <v>34</v>
      </c>
      <c r="I45" s="155" t="e">
        <f>+E45*G45*VLOOKUP($D$16,FX_Rates!$A:$C,IF($B$25="Frozen",3,2),FALSE)/VLOOKUP(H45,FX_Rates!$A:$C,IF($B$25="Frozen",3,2),FALSE)</f>
        <v>#N/A</v>
      </c>
      <c r="J45" s="56"/>
    </row>
    <row r="46" spans="1:10" ht="15" customHeight="1" x14ac:dyDescent="0.25">
      <c r="A46" s="24"/>
      <c r="B46" s="223"/>
      <c r="C46" s="156">
        <v>15</v>
      </c>
      <c r="D46" s="151" t="s">
        <v>81</v>
      </c>
      <c r="E46" s="152">
        <v>2</v>
      </c>
      <c r="F46" s="153" t="s">
        <v>75</v>
      </c>
      <c r="G46" s="152">
        <v>4.8499999999999996</v>
      </c>
      <c r="H46" s="154" t="s">
        <v>34</v>
      </c>
      <c r="I46" s="155" t="e">
        <f>+E46*G46*VLOOKUP($D$16,FX_Rates!$A:$C,IF($B$25="Frozen",3,2),FALSE)/VLOOKUP(H46,FX_Rates!$A:$C,IF($B$25="Frozen",3,2),FALSE)</f>
        <v>#N/A</v>
      </c>
      <c r="J46" s="157"/>
    </row>
    <row r="47" spans="1:10" ht="15" customHeight="1" x14ac:dyDescent="0.25">
      <c r="A47" s="24"/>
      <c r="B47" s="223"/>
      <c r="C47" s="55">
        <v>16</v>
      </c>
      <c r="D47" s="151" t="s">
        <v>82</v>
      </c>
      <c r="E47" s="152">
        <v>1</v>
      </c>
      <c r="F47" s="153" t="s">
        <v>75</v>
      </c>
      <c r="G47" s="152">
        <v>248</v>
      </c>
      <c r="H47" s="154" t="s">
        <v>34</v>
      </c>
      <c r="I47" s="155" t="e">
        <f>+E47*G47*VLOOKUP($D$16,FX_Rates!$A:$C,IF($B$25="Frozen",3,2),FALSE)/VLOOKUP(H47,FX_Rates!$A:$C,IF($B$25="Frozen",3,2),FALSE)</f>
        <v>#N/A</v>
      </c>
      <c r="J47" s="56"/>
    </row>
    <row r="48" spans="1:10" ht="15" customHeight="1" x14ac:dyDescent="0.25">
      <c r="A48" s="24"/>
      <c r="B48" s="223"/>
      <c r="C48" s="156">
        <v>17</v>
      </c>
      <c r="D48" s="151" t="s">
        <v>83</v>
      </c>
      <c r="E48" s="152">
        <v>5</v>
      </c>
      <c r="F48" s="153" t="s">
        <v>75</v>
      </c>
      <c r="G48" s="152">
        <v>0.25</v>
      </c>
      <c r="H48" s="154" t="s">
        <v>34</v>
      </c>
      <c r="I48" s="155" t="e">
        <f>+E48*G48*VLOOKUP($D$16,FX_Rates!$A:$C,IF($B$25="Frozen",3,2),FALSE)/VLOOKUP(H48,FX_Rates!$A:$C,IF($B$25="Frozen",3,2),FALSE)</f>
        <v>#N/A</v>
      </c>
      <c r="J48" s="157"/>
    </row>
    <row r="49" spans="1:10" ht="15" customHeight="1" x14ac:dyDescent="0.25">
      <c r="A49" s="24"/>
      <c r="B49" s="223"/>
      <c r="C49" s="55">
        <v>18</v>
      </c>
      <c r="D49" s="151" t="s">
        <v>84</v>
      </c>
      <c r="E49" s="152">
        <v>1</v>
      </c>
      <c r="F49" s="153" t="s">
        <v>75</v>
      </c>
      <c r="G49" s="152">
        <v>145</v>
      </c>
      <c r="H49" s="154" t="s">
        <v>34</v>
      </c>
      <c r="I49" s="155" t="e">
        <f>+E49*G49*VLOOKUP($D$16,FX_Rates!$A:$C,IF($B$25="Frozen",3,2),FALSE)/VLOOKUP(H49,FX_Rates!$A:$C,IF($B$25="Frozen",3,2),FALSE)</f>
        <v>#N/A</v>
      </c>
      <c r="J49" s="56"/>
    </row>
    <row r="50" spans="1:10" ht="15" customHeight="1" x14ac:dyDescent="0.25">
      <c r="A50" s="24"/>
      <c r="B50" s="223"/>
      <c r="C50" s="156">
        <v>19</v>
      </c>
      <c r="D50" s="151" t="s">
        <v>85</v>
      </c>
      <c r="E50" s="152">
        <v>1</v>
      </c>
      <c r="F50" s="153" t="s">
        <v>75</v>
      </c>
      <c r="G50" s="152">
        <v>148</v>
      </c>
      <c r="H50" s="154" t="s">
        <v>34</v>
      </c>
      <c r="I50" s="155" t="e">
        <f>+E50*G50*VLOOKUP($D$16,FX_Rates!$A:$C,IF($B$25="Frozen",3,2),FALSE)/VLOOKUP(H50,FX_Rates!$A:$C,IF($B$25="Frozen",3,2),FALSE)</f>
        <v>#N/A</v>
      </c>
      <c r="J50" s="157"/>
    </row>
    <row r="51" spans="1:10" ht="15" customHeight="1" x14ac:dyDescent="0.25">
      <c r="A51" s="24"/>
      <c r="B51" s="223"/>
      <c r="C51" s="55">
        <v>20</v>
      </c>
      <c r="D51" s="151" t="s">
        <v>86</v>
      </c>
      <c r="E51" s="152">
        <v>7</v>
      </c>
      <c r="F51" s="153" t="s">
        <v>75</v>
      </c>
      <c r="G51" s="152">
        <v>9.11</v>
      </c>
      <c r="H51" s="154" t="s">
        <v>34</v>
      </c>
      <c r="I51" s="155" t="e">
        <f>+E51*G51*VLOOKUP($D$16,FX_Rates!$A:$C,IF($B$25="Frozen",3,2),FALSE)/VLOOKUP(H51,FX_Rates!$A:$C,IF($B$25="Frozen",3,2),FALSE)</f>
        <v>#N/A</v>
      </c>
      <c r="J51" s="56"/>
    </row>
    <row r="52" spans="1:10" ht="15" customHeight="1" x14ac:dyDescent="0.25">
      <c r="A52" s="24"/>
      <c r="B52" s="223"/>
      <c r="C52" s="156">
        <v>21</v>
      </c>
      <c r="D52" s="151" t="s">
        <v>87</v>
      </c>
      <c r="E52" s="152">
        <v>5</v>
      </c>
      <c r="F52" s="153" t="s">
        <v>65</v>
      </c>
      <c r="G52" s="152">
        <v>7.78</v>
      </c>
      <c r="H52" s="154" t="s">
        <v>34</v>
      </c>
      <c r="I52" s="155" t="e">
        <f>+E52*G52*VLOOKUP($D$16,FX_Rates!$A:$C,IF($B$25="Frozen",3,2),FALSE)/VLOOKUP(H52,FX_Rates!$A:$C,IF($B$25="Frozen",3,2),FALSE)</f>
        <v>#N/A</v>
      </c>
      <c r="J52" s="157"/>
    </row>
    <row r="53" spans="1:10" ht="15" customHeight="1" x14ac:dyDescent="0.25">
      <c r="A53" s="24"/>
      <c r="B53" s="223"/>
      <c r="C53" s="55">
        <v>22</v>
      </c>
      <c r="D53" s="151" t="s">
        <v>88</v>
      </c>
      <c r="E53" s="152">
        <v>44</v>
      </c>
      <c r="F53" s="153" t="s">
        <v>65</v>
      </c>
      <c r="G53" s="152">
        <v>6.59</v>
      </c>
      <c r="H53" s="154" t="s">
        <v>34</v>
      </c>
      <c r="I53" s="155" t="e">
        <f>+E53*G53*VLOOKUP($D$16,FX_Rates!$A:$C,IF($B$25="Frozen",3,2),FALSE)/VLOOKUP(H53,FX_Rates!$A:$C,IF($B$25="Frozen",3,2),FALSE)</f>
        <v>#N/A</v>
      </c>
      <c r="J53" s="56"/>
    </row>
    <row r="54" spans="1:10" ht="15" customHeight="1" x14ac:dyDescent="0.25">
      <c r="A54" s="24"/>
      <c r="B54" s="223"/>
      <c r="C54" s="156">
        <v>23</v>
      </c>
      <c r="D54" s="151" t="s">
        <v>89</v>
      </c>
      <c r="E54" s="152">
        <v>9</v>
      </c>
      <c r="F54" s="153" t="s">
        <v>75</v>
      </c>
      <c r="G54" s="152">
        <v>28.6</v>
      </c>
      <c r="H54" s="154" t="s">
        <v>34</v>
      </c>
      <c r="I54" s="155" t="e">
        <f>+E54*G54*VLOOKUP($D$16,FX_Rates!$A:$C,IF($B$25="Frozen",3,2),FALSE)/VLOOKUP(H54,FX_Rates!$A:$C,IF($B$25="Frozen",3,2),FALSE)</f>
        <v>#N/A</v>
      </c>
      <c r="J54" s="157"/>
    </row>
    <row r="55" spans="1:10" ht="15" customHeight="1" x14ac:dyDescent="0.25">
      <c r="A55" s="24"/>
      <c r="B55" s="223"/>
      <c r="C55" s="55">
        <v>24</v>
      </c>
      <c r="D55" s="151" t="s">
        <v>90</v>
      </c>
      <c r="E55" s="152">
        <v>3</v>
      </c>
      <c r="F55" s="153" t="s">
        <v>75</v>
      </c>
      <c r="G55" s="152">
        <v>28.6</v>
      </c>
      <c r="H55" s="154" t="s">
        <v>34</v>
      </c>
      <c r="I55" s="155" t="e">
        <f>+E55*G55*VLOOKUP($D$16,FX_Rates!$A:$C,IF($B$25="Frozen",3,2),FALSE)/VLOOKUP(H55,FX_Rates!$A:$C,IF($B$25="Frozen",3,2),FALSE)</f>
        <v>#N/A</v>
      </c>
      <c r="J55" s="56"/>
    </row>
    <row r="56" spans="1:10" ht="15" customHeight="1" x14ac:dyDescent="0.25">
      <c r="A56" s="24"/>
      <c r="B56" s="223"/>
      <c r="C56" s="156">
        <v>25</v>
      </c>
      <c r="D56" s="151" t="s">
        <v>91</v>
      </c>
      <c r="E56" s="152">
        <v>2</v>
      </c>
      <c r="F56" s="153" t="s">
        <v>65</v>
      </c>
      <c r="G56" s="152">
        <v>9.68</v>
      </c>
      <c r="H56" s="154" t="s">
        <v>34</v>
      </c>
      <c r="I56" s="155" t="e">
        <f>+E56*G56*VLOOKUP($D$16,FX_Rates!$A:$C,IF($B$25="Frozen",3,2),FALSE)/VLOOKUP(H56,FX_Rates!$A:$C,IF($B$25="Frozen",3,2),FALSE)</f>
        <v>#N/A</v>
      </c>
      <c r="J56" s="157"/>
    </row>
    <row r="57" spans="1:10" ht="15" customHeight="1" x14ac:dyDescent="0.25">
      <c r="A57" s="24"/>
      <c r="B57" s="223"/>
      <c r="C57" s="55">
        <v>26</v>
      </c>
      <c r="D57" s="151" t="s">
        <v>92</v>
      </c>
      <c r="E57" s="152">
        <v>6</v>
      </c>
      <c r="F57" s="153" t="s">
        <v>68</v>
      </c>
      <c r="G57" s="152">
        <v>1.3</v>
      </c>
      <c r="H57" s="154" t="s">
        <v>34</v>
      </c>
      <c r="I57" s="155" t="e">
        <f>+E57*G57*VLOOKUP($D$16,FX_Rates!$A:$C,IF($B$25="Frozen",3,2),FALSE)/VLOOKUP(H57,FX_Rates!$A:$C,IF($B$25="Frozen",3,2),FALSE)</f>
        <v>#N/A</v>
      </c>
      <c r="J57" s="56"/>
    </row>
    <row r="58" spans="1:10" ht="15" customHeight="1" x14ac:dyDescent="0.25">
      <c r="A58" s="24"/>
      <c r="B58" s="223"/>
      <c r="C58" s="156">
        <v>27</v>
      </c>
      <c r="D58" s="151"/>
      <c r="E58" s="152"/>
      <c r="F58" s="153"/>
      <c r="G58" s="152"/>
      <c r="H58" s="154" t="s">
        <v>34</v>
      </c>
      <c r="I58" s="155" t="e">
        <f>+E58*G58*VLOOKUP($D$16,FX_Rates!$A:$C,IF($B$25="Frozen",3,2),FALSE)/VLOOKUP(H58,FX_Rates!$A:$C,IF($B$25="Frozen",3,2),FALSE)</f>
        <v>#N/A</v>
      </c>
      <c r="J58" s="157"/>
    </row>
    <row r="59" spans="1:10" ht="15" customHeight="1" x14ac:dyDescent="0.25">
      <c r="A59" s="24"/>
      <c r="B59" s="223"/>
      <c r="C59" s="55">
        <v>28</v>
      </c>
      <c r="D59" s="151"/>
      <c r="E59" s="152"/>
      <c r="F59" s="153"/>
      <c r="G59" s="152"/>
      <c r="H59" s="154" t="s">
        <v>34</v>
      </c>
      <c r="I59" s="155" t="e">
        <f>+E59*G59*VLOOKUP($D$16,FX_Rates!$A:$C,IF($B$25="Frozen",3,2),FALSE)/VLOOKUP(H59,FX_Rates!$A:$C,IF($B$25="Frozen",3,2),FALSE)</f>
        <v>#N/A</v>
      </c>
      <c r="J59" s="56"/>
    </row>
    <row r="60" spans="1:10" ht="15" customHeight="1" x14ac:dyDescent="0.25">
      <c r="A60" s="24"/>
      <c r="B60" s="223"/>
      <c r="C60" s="156">
        <v>29</v>
      </c>
      <c r="D60" s="151"/>
      <c r="E60" s="152"/>
      <c r="F60" s="153"/>
      <c r="G60" s="152"/>
      <c r="H60" s="154" t="s">
        <v>34</v>
      </c>
      <c r="I60" s="155" t="e">
        <f>+E60*G60*VLOOKUP($D$16,FX_Rates!$A:$C,IF($B$25="Frozen",3,2),FALSE)/VLOOKUP(H60,FX_Rates!$A:$C,IF($B$25="Frozen",3,2),FALSE)</f>
        <v>#N/A</v>
      </c>
      <c r="J60" s="157"/>
    </row>
    <row r="61" spans="1:10" ht="15" customHeight="1" x14ac:dyDescent="0.25">
      <c r="A61" s="24"/>
      <c r="B61" s="223"/>
      <c r="C61" s="55">
        <v>30</v>
      </c>
      <c r="D61" s="151"/>
      <c r="E61" s="158"/>
      <c r="F61" s="153"/>
      <c r="G61" s="152"/>
      <c r="H61" s="154" t="s">
        <v>34</v>
      </c>
      <c r="I61" s="159" t="s">
        <v>34</v>
      </c>
      <c r="J61" s="57"/>
    </row>
    <row r="62" spans="1:10" ht="15" customHeight="1" x14ac:dyDescent="0.25">
      <c r="A62" s="24"/>
      <c r="B62" s="223"/>
      <c r="C62" s="156">
        <v>31</v>
      </c>
      <c r="D62" s="151"/>
      <c r="E62" s="152"/>
      <c r="F62" s="153"/>
      <c r="G62" s="152"/>
      <c r="H62" s="154" t="s">
        <v>34</v>
      </c>
      <c r="I62" s="155" t="e">
        <f>+E62*G62*VLOOKUP($D$16,FX_Rates!$A:$C,IF($B$25="Frozen",3,2),FALSE)/VLOOKUP(H62,FX_Rates!$A:$C,IF($B$25="Frozen",3,2),FALSE)</f>
        <v>#N/A</v>
      </c>
      <c r="J62" s="160"/>
    </row>
    <row r="63" spans="1:10" ht="15" customHeight="1" x14ac:dyDescent="0.25">
      <c r="A63" s="24"/>
      <c r="B63" s="223"/>
      <c r="C63" s="55">
        <v>32</v>
      </c>
      <c r="D63" s="151"/>
      <c r="E63" s="152"/>
      <c r="F63" s="153"/>
      <c r="G63" s="152"/>
      <c r="H63" s="154" t="s">
        <v>34</v>
      </c>
      <c r="I63" s="155" t="e">
        <f>+E63*G63*VLOOKUP($D$16,FX_Rates!$A:$C,IF($B$25="Frozen",3,2),FALSE)/VLOOKUP(H63,FX_Rates!$A:$C,IF($B$25="Frozen",3,2),FALSE)</f>
        <v>#N/A</v>
      </c>
      <c r="J63" s="57"/>
    </row>
    <row r="64" spans="1:10" ht="15" customHeight="1" x14ac:dyDescent="0.25">
      <c r="A64" s="24"/>
      <c r="B64" s="223"/>
      <c r="C64" s="161">
        <v>33</v>
      </c>
      <c r="D64" s="49"/>
      <c r="E64" s="50"/>
      <c r="F64" s="51"/>
      <c r="G64" s="52"/>
      <c r="H64" s="53" t="s">
        <v>34</v>
      </c>
      <c r="I64" s="54" t="e">
        <f>+E64*G64*VLOOKUP($D$16,FX_Rates!$A:$C,IF($B$25="Frozen",3,2),FALSE)/VLOOKUP(H64,FX_Rates!$A:$C,IF($B$25="Frozen",3,2),FALSE)</f>
        <v>#N/A</v>
      </c>
      <c r="J64" s="162"/>
    </row>
    <row r="65" spans="1:14" ht="20.100000000000001" customHeight="1" thickBot="1" x14ac:dyDescent="0.3">
      <c r="A65" s="24"/>
      <c r="B65" s="223"/>
      <c r="C65" s="63"/>
      <c r="D65" s="163" t="s">
        <v>93</v>
      </c>
      <c r="E65" s="163"/>
      <c r="F65" s="163"/>
      <c r="G65" s="163"/>
      <c r="H65" s="163"/>
      <c r="I65" s="164"/>
      <c r="J65" s="64"/>
      <c r="K65" s="24"/>
      <c r="L65" s="24"/>
      <c r="M65" s="24"/>
      <c r="N65" s="24"/>
    </row>
    <row r="66" spans="1:14" ht="15" customHeight="1" x14ac:dyDescent="0.25">
      <c r="A66" s="24"/>
      <c r="B66" s="223"/>
      <c r="C66" s="165">
        <v>1</v>
      </c>
      <c r="D66" s="33"/>
      <c r="E66" s="34"/>
      <c r="F66" s="35"/>
      <c r="G66" s="34"/>
      <c r="H66" s="36" t="s">
        <v>34</v>
      </c>
      <c r="I66" s="37">
        <f>IF(ISBLANK(G66),0,G66*VLOOKUP($D$16,FX_Rates!$A:$C,IF($B$25="Frozen",3,2),FALSE)/VLOOKUP(H66,FX_Rates!$A:$C,IF($B$25="Frozen",3,2),FALSE))</f>
        <v>0</v>
      </c>
      <c r="J66" s="166"/>
      <c r="K66" s="24"/>
      <c r="L66" s="24"/>
      <c r="M66" s="41"/>
      <c r="N66" s="24"/>
    </row>
    <row r="67" spans="1:14" ht="15" customHeight="1" x14ac:dyDescent="0.25">
      <c r="A67" s="24"/>
      <c r="B67" s="24"/>
      <c r="C67" s="55">
        <v>2</v>
      </c>
      <c r="D67" s="151"/>
      <c r="E67" s="152"/>
      <c r="F67" s="153"/>
      <c r="G67" s="152"/>
      <c r="H67" s="167" t="s">
        <v>34</v>
      </c>
      <c r="I67" s="159">
        <f>IF(ISBLANK(G67),0,G67*VLOOKUP($D$16,FX_Rates!$A:$C,IF($B$25="Frozen",3,2),FALSE)/VLOOKUP(H67,FX_Rates!$A:$C,IF($B$25="Frozen",3,2),FALSE))</f>
        <v>0</v>
      </c>
      <c r="J67" s="57"/>
      <c r="K67" s="24"/>
      <c r="L67" s="24"/>
      <c r="M67" s="41"/>
      <c r="N67" s="24"/>
    </row>
    <row r="68" spans="1:14" ht="15" customHeight="1" thickBot="1" x14ac:dyDescent="0.3">
      <c r="A68" s="24"/>
      <c r="B68" s="222"/>
      <c r="C68" s="168">
        <v>3</v>
      </c>
      <c r="D68" s="169"/>
      <c r="E68" s="170"/>
      <c r="F68" s="171"/>
      <c r="G68" s="170"/>
      <c r="H68" s="118" t="s">
        <v>34</v>
      </c>
      <c r="I68" s="172">
        <f>IF(ISBLANK(G68),0,G68*VLOOKUP($D$16,FX_Rates!$A:$C,IF($B$25="Frozen",3,2),FALSE)/VLOOKUP(H68,FX_Rates!$A:$C,IF($B$25="Frozen",3,2),FALSE))</f>
        <v>0</v>
      </c>
      <c r="J68" s="173"/>
      <c r="K68" s="231"/>
      <c r="L68" s="232"/>
      <c r="M68" s="41"/>
      <c r="N68" s="24"/>
    </row>
    <row r="69" spans="1:14" ht="9.9499999999999993" customHeight="1" thickBot="1" x14ac:dyDescent="0.3">
      <c r="A69" s="24"/>
      <c r="B69" s="223"/>
      <c r="C69" s="48"/>
      <c r="D69" s="24"/>
      <c r="E69" s="24"/>
      <c r="F69" s="24"/>
      <c r="G69" s="24"/>
      <c r="H69" s="28"/>
      <c r="I69" s="28"/>
      <c r="J69" s="24"/>
      <c r="K69" s="42"/>
      <c r="L69" s="44"/>
      <c r="M69" s="43"/>
      <c r="N69" s="24"/>
    </row>
    <row r="70" spans="1:14" ht="15.75" customHeight="1" thickBot="1" x14ac:dyDescent="0.3">
      <c r="A70" s="24"/>
      <c r="B70" s="223"/>
      <c r="C70" s="174"/>
      <c r="D70" s="175" t="s">
        <v>94</v>
      </c>
      <c r="E70" s="175"/>
      <c r="F70" s="175"/>
      <c r="G70" s="175"/>
      <c r="H70" s="7">
        <f>$D$16</f>
        <v>0</v>
      </c>
      <c r="I70" s="8" t="e">
        <f>SUM(I32:I68)</f>
        <v>#N/A</v>
      </c>
      <c r="J70" s="65"/>
      <c r="K70" s="42"/>
      <c r="L70" s="44"/>
      <c r="M70" s="43"/>
      <c r="N70" s="24"/>
    </row>
    <row r="71" spans="1:14" ht="9.9499999999999993" customHeight="1" thickBot="1" x14ac:dyDescent="0.3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42"/>
      <c r="L71" s="176"/>
      <c r="M71" s="24"/>
      <c r="N71" s="24"/>
    </row>
    <row r="72" spans="1:14" ht="20.100000000000001" customHeight="1" thickBot="1" x14ac:dyDescent="0.3">
      <c r="A72" s="24"/>
      <c r="B72" s="24"/>
      <c r="C72" s="68"/>
      <c r="D72" s="177" t="s">
        <v>95</v>
      </c>
      <c r="E72" s="177" t="s">
        <v>96</v>
      </c>
      <c r="F72" s="177"/>
      <c r="G72" s="177" t="s">
        <v>97</v>
      </c>
      <c r="H72" s="177"/>
      <c r="I72" s="69"/>
      <c r="J72" s="24"/>
      <c r="K72" s="178"/>
      <c r="L72" s="179" t="s">
        <v>98</v>
      </c>
      <c r="M72" s="178"/>
      <c r="N72" s="24"/>
    </row>
    <row r="73" spans="1:14" ht="15" customHeight="1" thickBot="1" x14ac:dyDescent="0.3">
      <c r="A73" s="24"/>
      <c r="B73" s="66"/>
      <c r="C73" s="165">
        <v>1</v>
      </c>
      <c r="D73" s="180" t="s">
        <v>95</v>
      </c>
      <c r="E73" s="152">
        <v>360</v>
      </c>
      <c r="F73" s="181"/>
      <c r="G73" s="152">
        <v>17.100000000000001</v>
      </c>
      <c r="H73" s="167" t="s">
        <v>34</v>
      </c>
      <c r="I73" s="70" t="e">
        <f>+E73*G73*VLOOKUP($D$16,FX_Rates!$A:$C,IF($B$25="Frozen",3,2),FALSE)/VLOOKUP(H73,FX_Rates!$A:$C,IF($B$25="Frozen",3,2),FALSE)</f>
        <v>#N/A</v>
      </c>
      <c r="J73" s="24"/>
      <c r="K73" s="182"/>
      <c r="L73" s="47">
        <v>360</v>
      </c>
      <c r="M73" s="183"/>
      <c r="N73" s="24"/>
    </row>
    <row r="74" spans="1:14" ht="15" customHeight="1" thickBot="1" x14ac:dyDescent="0.3">
      <c r="A74" s="24"/>
      <c r="B74" s="67"/>
      <c r="C74" s="55">
        <v>2</v>
      </c>
      <c r="D74" s="184" t="s">
        <v>95</v>
      </c>
      <c r="E74" s="170"/>
      <c r="F74" s="185"/>
      <c r="G74" s="186"/>
      <c r="H74" s="187" t="s">
        <v>34</v>
      </c>
      <c r="I74" s="71" t="e">
        <f>+E74*G74*VLOOKUP($D$16,FX_Rates!$A:$C,IF($B$25="Frozen",3,2),FALSE)/VLOOKUP(H74,FX_Rates!$A:$C,IF($B$25="Frozen",3,2),FALSE)</f>
        <v>#N/A</v>
      </c>
      <c r="J74" s="45"/>
      <c r="K74" s="42"/>
      <c r="L74" s="46"/>
      <c r="M74" s="24"/>
      <c r="N74" s="24"/>
    </row>
    <row r="75" spans="1:14" ht="9.9499999999999993" customHeight="1" thickBot="1" x14ac:dyDescent="0.3">
      <c r="A75" s="24"/>
      <c r="B75" s="24"/>
      <c r="C75" s="24"/>
      <c r="D75" s="24"/>
      <c r="E75" s="24"/>
      <c r="F75" s="24"/>
      <c r="G75" s="24"/>
      <c r="H75" s="28"/>
      <c r="I75" s="28"/>
      <c r="J75" s="24"/>
      <c r="K75" s="42"/>
      <c r="L75" s="46"/>
      <c r="M75" s="24"/>
      <c r="N75" s="24"/>
    </row>
    <row r="76" spans="1:14" ht="15.75" customHeight="1" thickBot="1" x14ac:dyDescent="0.3">
      <c r="A76" s="24"/>
      <c r="B76" s="67"/>
      <c r="C76" s="174"/>
      <c r="D76" s="175" t="s">
        <v>99</v>
      </c>
      <c r="E76" s="175"/>
      <c r="F76" s="175"/>
      <c r="G76" s="175"/>
      <c r="H76" s="9">
        <f>$D$16</f>
        <v>0</v>
      </c>
      <c r="I76" s="10" t="e">
        <f>+I70+I73+I74</f>
        <v>#N/A</v>
      </c>
      <c r="J76" s="24"/>
      <c r="K76" s="24"/>
      <c r="L76" s="24"/>
      <c r="M76" s="24"/>
      <c r="N76" s="24"/>
    </row>
    <row r="77" spans="1:14" ht="9.9499999999999993" customHeight="1" thickBot="1" x14ac:dyDescent="0.3">
      <c r="A77" s="24"/>
      <c r="B77" s="222"/>
      <c r="C77" s="26"/>
      <c r="D77" s="72"/>
      <c r="E77" s="24"/>
      <c r="F77" s="24"/>
      <c r="G77" s="24"/>
      <c r="H77" s="28"/>
      <c r="I77" s="28"/>
      <c r="J77" s="24"/>
      <c r="K77" s="24"/>
      <c r="L77" s="24"/>
      <c r="M77" s="24"/>
      <c r="N77" s="24"/>
    </row>
    <row r="78" spans="1:14" ht="15.75" customHeight="1" thickBot="1" x14ac:dyDescent="0.3">
      <c r="A78" s="24"/>
      <c r="B78" s="223"/>
      <c r="C78" s="149">
        <v>1</v>
      </c>
      <c r="D78" s="76" t="s">
        <v>100</v>
      </c>
      <c r="E78" s="77"/>
      <c r="F78" s="115" t="s">
        <v>101</v>
      </c>
      <c r="G78" s="78">
        <v>0.28499999999999998</v>
      </c>
      <c r="H78" s="79">
        <f>$D$16</f>
        <v>0</v>
      </c>
      <c r="I78" s="80" t="e">
        <f>((I76)/(1-G78))-(I76)</f>
        <v>#N/A</v>
      </c>
      <c r="J78" s="24"/>
      <c r="K78" s="24"/>
      <c r="L78" s="81" t="e">
        <f>+(I73+I74+I78)/E73</f>
        <v>#N/A</v>
      </c>
      <c r="M78" s="82" t="s">
        <v>102</v>
      </c>
      <c r="N78" s="24"/>
    </row>
    <row r="79" spans="1:14" ht="15.75" customHeight="1" thickBot="1" x14ac:dyDescent="0.3">
      <c r="A79" s="24"/>
      <c r="B79" s="74"/>
      <c r="C79" s="174"/>
      <c r="D79" s="175" t="s">
        <v>103</v>
      </c>
      <c r="E79" s="175"/>
      <c r="F79" s="175"/>
      <c r="G79" s="175"/>
      <c r="H79" s="9">
        <f>$D$16</f>
        <v>0</v>
      </c>
      <c r="I79" s="10" t="e">
        <f>+I76+I78</f>
        <v>#N/A</v>
      </c>
      <c r="J79" s="24"/>
      <c r="K79" s="24"/>
      <c r="L79" s="83" t="e">
        <f>+(I73+I74+I78)/L73</f>
        <v>#N/A</v>
      </c>
      <c r="M79" s="84" t="s">
        <v>104</v>
      </c>
      <c r="N79" s="24"/>
    </row>
    <row r="80" spans="1:14" ht="20.100000000000001" customHeight="1" thickBot="1" x14ac:dyDescent="0.3">
      <c r="A80" s="24"/>
      <c r="B80" s="75"/>
      <c r="C80" s="24"/>
      <c r="D80" s="24"/>
      <c r="E80" s="24"/>
      <c r="F80" s="24"/>
      <c r="G80" s="24"/>
      <c r="H80" s="73"/>
      <c r="I80" s="73"/>
      <c r="J80" s="24"/>
      <c r="K80" s="24"/>
      <c r="L80" s="24"/>
      <c r="M80" s="24"/>
      <c r="N80" s="24"/>
    </row>
    <row r="81" spans="1:13" ht="12.75" customHeight="1" x14ac:dyDescent="0.25">
      <c r="A81" s="24"/>
      <c r="B81" s="75"/>
      <c r="C81" s="149">
        <v>1</v>
      </c>
      <c r="D81" s="89" t="s">
        <v>105</v>
      </c>
      <c r="E81" s="215"/>
      <c r="F81" s="216"/>
      <c r="G81" s="59"/>
      <c r="H81" s="85" t="s">
        <v>34</v>
      </c>
      <c r="I81" s="86">
        <f>IF(ISBLANK(G81),0,G81*VLOOKUP($D$16,FX_Rates!$A:$C,IF($B$25="Frozen",3,2),FALSE)/VLOOKUP(H81,FX_Rates!$A:$C,IF($B$25="Frozen",3,2),FALSE))</f>
        <v>0</v>
      </c>
      <c r="J81" s="24"/>
      <c r="K81" s="24"/>
      <c r="L81" s="24"/>
      <c r="M81" s="24"/>
    </row>
    <row r="82" spans="1:13" ht="15.75" customHeight="1" thickBot="1" x14ac:dyDescent="0.3">
      <c r="A82" s="24"/>
      <c r="B82" s="75"/>
      <c r="C82" s="87">
        <v>2</v>
      </c>
      <c r="D82" s="188" t="s">
        <v>106</v>
      </c>
      <c r="E82" s="235"/>
      <c r="F82" s="221"/>
      <c r="G82" s="170"/>
      <c r="H82" s="118" t="s">
        <v>34</v>
      </c>
      <c r="I82" s="88">
        <f>IF(ISBLANK(G82),0,G82*VLOOKUP($D$16,FX_Rates!$A:$C,IF($B$25="Frozen",3,2),FALSE)/VLOOKUP(H82,FX_Rates!$A:$C,IF($B$25="Frozen",3,2),FALSE))</f>
        <v>0</v>
      </c>
      <c r="J82" s="24"/>
      <c r="K82" s="24"/>
      <c r="L82" s="24"/>
      <c r="M82" s="24"/>
    </row>
    <row r="83" spans="1:13" ht="9.9499999999999993" customHeight="1" thickBot="1" x14ac:dyDescent="0.3">
      <c r="A83" s="12"/>
      <c r="B83" s="75"/>
      <c r="C83" s="139"/>
      <c r="D83" s="139"/>
      <c r="E83" s="139"/>
      <c r="F83" s="139"/>
      <c r="G83" s="139"/>
      <c r="H83" s="139"/>
      <c r="I83" s="139"/>
      <c r="J83" s="24"/>
      <c r="K83" s="24"/>
      <c r="L83" s="24"/>
      <c r="M83" s="24"/>
    </row>
    <row r="84" spans="1:13" ht="15.75" customHeight="1" thickBot="1" x14ac:dyDescent="0.3">
      <c r="A84" s="12"/>
      <c r="B84" s="75"/>
      <c r="C84" s="174"/>
      <c r="D84" s="175" t="s">
        <v>107</v>
      </c>
      <c r="E84" s="175"/>
      <c r="F84" s="175"/>
      <c r="G84" s="175"/>
      <c r="H84" s="189">
        <f>$D$16</f>
        <v>0</v>
      </c>
      <c r="I84" s="190" t="e">
        <f>+I79+I81+I82</f>
        <v>#N/A</v>
      </c>
      <c r="J84" s="139"/>
      <c r="K84" s="24"/>
      <c r="L84" s="24"/>
      <c r="M84" s="24"/>
    </row>
    <row r="85" spans="1:13" ht="9.9499999999999993" customHeight="1" x14ac:dyDescent="0.25">
      <c r="A85" s="12"/>
      <c r="B85" s="75"/>
      <c r="C85" s="26"/>
      <c r="D85" s="72"/>
      <c r="E85" s="24"/>
      <c r="F85" s="24"/>
      <c r="G85" s="24"/>
      <c r="H85" s="90"/>
      <c r="I85" s="90"/>
      <c r="J85" s="12"/>
      <c r="K85" s="24"/>
      <c r="L85" s="24"/>
      <c r="M85" s="24"/>
    </row>
    <row r="86" spans="1:13" ht="9.9499999999999993" customHeight="1" thickBot="1" x14ac:dyDescent="0.3">
      <c r="A86" s="12"/>
      <c r="B86" s="75"/>
      <c r="C86" s="91"/>
      <c r="D86" s="72"/>
      <c r="E86" s="24"/>
      <c r="F86" s="24"/>
      <c r="G86" s="24"/>
      <c r="H86" s="92"/>
      <c r="I86" s="93"/>
      <c r="J86" s="12"/>
      <c r="K86" s="24"/>
      <c r="L86" s="24"/>
      <c r="M86" s="24"/>
    </row>
    <row r="87" spans="1:13" ht="20.100000000000001" customHeight="1" thickBot="1" x14ac:dyDescent="0.3">
      <c r="A87" s="12"/>
      <c r="B87" s="75"/>
      <c r="C87" s="139"/>
      <c r="D87" s="227" t="s">
        <v>108</v>
      </c>
      <c r="E87" s="228"/>
      <c r="F87" s="228"/>
      <c r="G87" s="229" t="s">
        <v>109</v>
      </c>
      <c r="H87" s="229"/>
      <c r="I87" s="230"/>
      <c r="J87" s="94"/>
      <c r="K87" s="191"/>
      <c r="L87" s="24"/>
      <c r="M87" s="192" t="s">
        <v>110</v>
      </c>
    </row>
    <row r="88" spans="1:13" ht="18" customHeight="1" thickBot="1" x14ac:dyDescent="0.3">
      <c r="A88" s="24"/>
      <c r="B88" s="75"/>
      <c r="C88" s="24"/>
      <c r="D88" s="114" t="s">
        <v>109</v>
      </c>
      <c r="E88" s="233"/>
      <c r="F88" s="234"/>
      <c r="G88" s="34">
        <v>20000</v>
      </c>
      <c r="H88" s="112" t="s">
        <v>34</v>
      </c>
      <c r="I88" s="113" t="e">
        <f>G88*VLOOKUP($D$16,FX_Rates!$A:$C,IF($B$25="Frozen",3,2),FALSE)/VLOOKUP(H88,FX_Rates!$A:$C,IF($B$25="Frozen",3,2),FALSE)</f>
        <v>#N/A</v>
      </c>
      <c r="J88" s="191"/>
      <c r="K88" s="193" t="s">
        <v>111</v>
      </c>
      <c r="L88" s="11" t="str">
        <f>IFERROR(I84/(1-VLOOKUP(D14,GP_Budgets!$A:$B,2,FALSE)),"Select Region")</f>
        <v>Select Region</v>
      </c>
      <c r="M88" s="194" t="e">
        <f>IF(AND(I88&gt;0,L88&lt;&gt;"",I88&lt;L88*0.95),"Sales Price Requires Approval","")</f>
        <v>#N/A</v>
      </c>
    </row>
    <row r="89" spans="1:13" ht="15.75" customHeight="1" x14ac:dyDescent="0.25">
      <c r="A89" s="24"/>
      <c r="B89" s="75"/>
      <c r="C89" s="24"/>
      <c r="D89" s="95" t="s">
        <v>46</v>
      </c>
      <c r="E89" s="238"/>
      <c r="F89" s="213"/>
      <c r="G89" s="214"/>
      <c r="H89" s="195">
        <f>$D$16</f>
        <v>0</v>
      </c>
      <c r="I89" s="21" t="e">
        <f>+I88-I84</f>
        <v>#N/A</v>
      </c>
      <c r="J89" s="191"/>
      <c r="K89" s="191"/>
      <c r="L89" s="24"/>
      <c r="M89" s="24"/>
    </row>
    <row r="90" spans="1:13" ht="15.75" customHeight="1" thickBot="1" x14ac:dyDescent="0.3">
      <c r="A90" s="24"/>
      <c r="B90" s="75"/>
      <c r="C90" s="24"/>
      <c r="D90" s="96" t="s">
        <v>112</v>
      </c>
      <c r="E90" s="219"/>
      <c r="F90" s="220"/>
      <c r="G90" s="220"/>
      <c r="H90" s="221"/>
      <c r="I90" s="97" t="e">
        <f>+I89/I88</f>
        <v>#N/A</v>
      </c>
      <c r="J90" s="24"/>
      <c r="K90" s="24"/>
      <c r="L90" s="24"/>
      <c r="M90" s="24"/>
    </row>
    <row r="91" spans="1:13" ht="12.75" customHeight="1" thickBot="1" x14ac:dyDescent="0.3">
      <c r="A91" s="24"/>
      <c r="B91" s="75"/>
      <c r="C91" s="24"/>
      <c r="D91" s="43"/>
      <c r="E91" s="24"/>
      <c r="F91" s="24"/>
      <c r="G91" s="24"/>
      <c r="H91" s="28"/>
      <c r="I91" s="45"/>
      <c r="J91" s="24"/>
      <c r="K91" s="24"/>
      <c r="L91" s="24"/>
      <c r="M91" s="24"/>
    </row>
    <row r="92" spans="1:13" ht="15.75" customHeight="1" x14ac:dyDescent="0.25">
      <c r="A92" s="24"/>
      <c r="B92" s="75"/>
      <c r="C92" s="24"/>
      <c r="D92" s="98" t="s">
        <v>113</v>
      </c>
      <c r="E92" s="217"/>
      <c r="F92" s="218"/>
      <c r="G92" s="216"/>
      <c r="H92" s="99">
        <f>$D$16</f>
        <v>0</v>
      </c>
      <c r="I92" s="100" t="e">
        <f>+I89+I78</f>
        <v>#N/A</v>
      </c>
      <c r="J92" s="24"/>
      <c r="K92" s="24"/>
      <c r="L92" s="24"/>
      <c r="M92" s="24"/>
    </row>
    <row r="93" spans="1:13" ht="15.75" customHeight="1" thickBot="1" x14ac:dyDescent="0.3">
      <c r="A93" s="24"/>
      <c r="B93" s="75"/>
      <c r="C93" s="24"/>
      <c r="D93" s="96" t="s">
        <v>51</v>
      </c>
      <c r="E93" s="237"/>
      <c r="F93" s="220"/>
      <c r="G93" s="220"/>
      <c r="H93" s="221"/>
      <c r="I93" s="101" t="e">
        <f>+I92/I88</f>
        <v>#N/A</v>
      </c>
      <c r="J93" s="24"/>
      <c r="K93" s="24"/>
      <c r="L93" s="24"/>
      <c r="M93" s="24"/>
    </row>
    <row r="94" spans="1:13" ht="15.75" customHeight="1" x14ac:dyDescent="0.25">
      <c r="A94" s="24"/>
      <c r="B94" s="75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</row>
    <row r="95" spans="1:13" ht="20.100000000000001" customHeight="1" thickBot="1" x14ac:dyDescent="0.3">
      <c r="A95" s="24"/>
      <c r="B95" s="75"/>
      <c r="C95" s="24"/>
      <c r="D95" s="196" t="s">
        <v>114</v>
      </c>
      <c r="E95" s="236"/>
      <c r="F95" s="213"/>
      <c r="G95" s="214"/>
      <c r="H95" s="197" t="s">
        <v>115</v>
      </c>
      <c r="I95" s="197" t="s">
        <v>63</v>
      </c>
      <c r="J95" s="24"/>
      <c r="K95" s="24"/>
      <c r="L95" s="24"/>
      <c r="M95" s="24"/>
    </row>
    <row r="96" spans="1:13" ht="15" customHeight="1" x14ac:dyDescent="0.25">
      <c r="A96" s="24"/>
      <c r="B96" s="75"/>
      <c r="C96" s="24"/>
      <c r="D96" s="180" t="s">
        <v>116</v>
      </c>
      <c r="E96" s="212"/>
      <c r="F96" s="213"/>
      <c r="G96" s="214"/>
      <c r="H96" s="167" t="s">
        <v>117</v>
      </c>
      <c r="I96" s="150"/>
      <c r="J96" s="24"/>
      <c r="K96" s="24"/>
      <c r="L96" s="24"/>
      <c r="M96" s="24"/>
    </row>
    <row r="97" spans="1:10" ht="15" customHeight="1" x14ac:dyDescent="0.25">
      <c r="A97" s="24"/>
      <c r="B97" s="75"/>
      <c r="C97" s="24"/>
      <c r="D97" s="180" t="s">
        <v>118</v>
      </c>
      <c r="E97" s="212"/>
      <c r="F97" s="213"/>
      <c r="G97" s="214"/>
      <c r="H97" s="167" t="s">
        <v>119</v>
      </c>
      <c r="I97" s="56"/>
      <c r="J97" s="24"/>
    </row>
    <row r="98" spans="1:10" ht="15" customHeight="1" x14ac:dyDescent="0.25">
      <c r="A98" s="24"/>
      <c r="B98" s="75"/>
      <c r="C98" s="24"/>
      <c r="D98" s="180" t="s">
        <v>120</v>
      </c>
      <c r="E98" s="212"/>
      <c r="F98" s="213"/>
      <c r="G98" s="214"/>
      <c r="H98" s="167">
        <v>4</v>
      </c>
      <c r="I98" s="157"/>
      <c r="J98" s="24"/>
    </row>
    <row r="99" spans="1:10" ht="15" customHeight="1" x14ac:dyDescent="0.25">
      <c r="A99" s="24"/>
      <c r="B99" s="75"/>
      <c r="C99" s="24"/>
      <c r="D99" s="180" t="s">
        <v>121</v>
      </c>
      <c r="E99" s="212"/>
      <c r="F99" s="213"/>
      <c r="G99" s="214"/>
      <c r="H99" s="167" t="s">
        <v>122</v>
      </c>
      <c r="I99" s="56"/>
      <c r="J99" s="24"/>
    </row>
    <row r="100" spans="1:10" ht="15" customHeight="1" x14ac:dyDescent="0.25">
      <c r="A100" s="24"/>
      <c r="B100" s="75"/>
      <c r="C100" s="24"/>
      <c r="D100" s="180" t="s">
        <v>37</v>
      </c>
      <c r="E100" s="212"/>
      <c r="F100" s="213"/>
      <c r="G100" s="214"/>
      <c r="H100" s="198">
        <f>$D$17</f>
        <v>0</v>
      </c>
      <c r="I100" s="157"/>
      <c r="J100" s="24"/>
    </row>
    <row r="101" spans="1:10" ht="15" customHeight="1" x14ac:dyDescent="0.25">
      <c r="A101" s="24"/>
      <c r="B101" s="75"/>
      <c r="C101" s="24"/>
      <c r="D101" s="180" t="s">
        <v>123</v>
      </c>
      <c r="E101" s="212"/>
      <c r="F101" s="213"/>
      <c r="G101" s="214"/>
      <c r="H101" s="167" t="s">
        <v>124</v>
      </c>
      <c r="I101" s="56"/>
      <c r="J101" s="24"/>
    </row>
    <row r="102" spans="1:10" ht="15" customHeight="1" x14ac:dyDescent="0.25">
      <c r="A102" s="24"/>
      <c r="B102" s="75"/>
      <c r="C102" s="24"/>
      <c r="D102" s="180" t="s">
        <v>125</v>
      </c>
      <c r="E102" s="212"/>
      <c r="F102" s="213"/>
      <c r="G102" s="214"/>
      <c r="H102" s="167">
        <v>2026</v>
      </c>
      <c r="I102" s="56"/>
      <c r="J102" s="24"/>
    </row>
    <row r="103" spans="1:10" ht="15" customHeight="1" x14ac:dyDescent="0.25">
      <c r="A103" s="24"/>
      <c r="B103" s="24"/>
      <c r="C103" s="24"/>
      <c r="D103" s="180" t="s">
        <v>126</v>
      </c>
      <c r="E103" s="212"/>
      <c r="F103" s="213"/>
      <c r="G103" s="214"/>
      <c r="H103" s="167" t="s">
        <v>27</v>
      </c>
      <c r="I103" s="157"/>
      <c r="J103" s="24"/>
    </row>
    <row r="104" spans="1:10" ht="15" customHeight="1" x14ac:dyDescent="0.25">
      <c r="A104" s="24"/>
      <c r="B104" s="24"/>
      <c r="C104" s="24"/>
      <c r="D104" s="180" t="s">
        <v>127</v>
      </c>
      <c r="E104" s="212"/>
      <c r="F104" s="213"/>
      <c r="G104" s="214"/>
      <c r="H104" s="153"/>
      <c r="I104" s="56"/>
      <c r="J104" s="24"/>
    </row>
    <row r="105" spans="1:10" ht="15" customHeight="1" x14ac:dyDescent="0.25">
      <c r="A105" s="24"/>
      <c r="B105" s="24"/>
      <c r="C105" s="24"/>
      <c r="D105" s="180" t="s">
        <v>128</v>
      </c>
      <c r="E105" s="212"/>
      <c r="F105" s="213"/>
      <c r="G105" s="214"/>
      <c r="H105" s="153"/>
      <c r="I105" s="157"/>
      <c r="J105" s="24"/>
    </row>
    <row r="106" spans="1:10" ht="15" customHeight="1" x14ac:dyDescent="0.25">
      <c r="A106" s="24"/>
      <c r="B106" s="24"/>
      <c r="C106" s="24"/>
      <c r="D106" s="180" t="s">
        <v>129</v>
      </c>
      <c r="E106" s="212"/>
      <c r="F106" s="213"/>
      <c r="G106" s="214"/>
      <c r="H106" s="153">
        <v>1938</v>
      </c>
      <c r="I106" s="56"/>
      <c r="J106" s="24"/>
    </row>
    <row r="107" spans="1:10" ht="9.75" customHeight="1" x14ac:dyDescent="0.25">
      <c r="A107" s="24"/>
      <c r="B107" s="24"/>
      <c r="C107" s="24"/>
      <c r="D107" s="24"/>
      <c r="E107" s="24"/>
      <c r="F107" s="24"/>
      <c r="G107" s="24"/>
      <c r="H107" s="24"/>
      <c r="I107" s="24"/>
      <c r="J107" s="24"/>
    </row>
    <row r="108" spans="1:10" ht="15" customHeight="1" x14ac:dyDescent="0.25">
      <c r="A108" s="24"/>
      <c r="B108" s="24"/>
      <c r="C108" s="24"/>
      <c r="D108" s="180" t="s">
        <v>130</v>
      </c>
      <c r="E108" s="212"/>
      <c r="F108" s="213"/>
      <c r="G108" s="214"/>
      <c r="H108" s="199" t="str">
        <f>IFERROR(INDEX(Duties!$B$2:$L$6,MATCH(D15,Duties!$A$2:$A$6,0),MATCH(D14,Duties!$B$1:L$1,0)),"Check")</f>
        <v>Check</v>
      </c>
      <c r="I108" s="200"/>
      <c r="J108" s="24"/>
    </row>
    <row r="109" spans="1:10" x14ac:dyDescent="0.25">
      <c r="A109" s="24"/>
      <c r="B109" s="24"/>
      <c r="C109" s="24"/>
      <c r="D109" s="24"/>
      <c r="E109" s="24"/>
      <c r="F109" s="24"/>
      <c r="G109" s="24"/>
      <c r="H109" s="24"/>
      <c r="I109" s="24"/>
      <c r="J109" s="24"/>
    </row>
    <row r="110" spans="1:10" x14ac:dyDescent="0.25">
      <c r="A110" s="24"/>
      <c r="B110" s="24"/>
      <c r="C110" s="24"/>
      <c r="D110" s="24"/>
      <c r="E110" s="24"/>
      <c r="F110" s="24"/>
      <c r="G110" s="24"/>
      <c r="H110" s="24"/>
      <c r="I110" s="24"/>
      <c r="J110" s="24"/>
    </row>
    <row r="111" spans="1:10" x14ac:dyDescent="0.25">
      <c r="A111" s="24"/>
      <c r="B111" s="24"/>
      <c r="C111" s="24"/>
      <c r="D111" s="24"/>
      <c r="E111" s="24"/>
      <c r="F111" s="24"/>
      <c r="G111" s="24"/>
      <c r="H111" s="24"/>
      <c r="I111" s="24"/>
      <c r="J111" s="24"/>
    </row>
  </sheetData>
  <sheetProtection sheet="1"/>
  <mergeCells count="28">
    <mergeCell ref="K68:L68"/>
    <mergeCell ref="B68:B70"/>
    <mergeCell ref="B77:B78"/>
    <mergeCell ref="E108:G108"/>
    <mergeCell ref="E88:F88"/>
    <mergeCell ref="E105:G105"/>
    <mergeCell ref="E82:F82"/>
    <mergeCell ref="E99:G99"/>
    <mergeCell ref="E95:G95"/>
    <mergeCell ref="E93:H93"/>
    <mergeCell ref="E89:G89"/>
    <mergeCell ref="E104:G104"/>
    <mergeCell ref="E101:G101"/>
    <mergeCell ref="B7:D7"/>
    <mergeCell ref="E106:G106"/>
    <mergeCell ref="E98:G98"/>
    <mergeCell ref="E81:F81"/>
    <mergeCell ref="E92:G92"/>
    <mergeCell ref="E90:H90"/>
    <mergeCell ref="B27:B66"/>
    <mergeCell ref="E103:G103"/>
    <mergeCell ref="B25:H25"/>
    <mergeCell ref="E100:G100"/>
    <mergeCell ref="E97:G97"/>
    <mergeCell ref="E102:G102"/>
    <mergeCell ref="E96:G96"/>
    <mergeCell ref="D87:F87"/>
    <mergeCell ref="G87:I87"/>
  </mergeCells>
  <conditionalFormatting sqref="H108">
    <cfRule type="expression" dxfId="3" priority="2">
      <formula>H108=0</formula>
    </cfRule>
    <cfRule type="expression" dxfId="2" priority="3">
      <formula>H108="Check"</formula>
    </cfRule>
    <cfRule type="expression" dxfId="1" priority="4">
      <formula>AND(ISNUMBER(H108),H108&gt;0)</formula>
    </cfRule>
  </conditionalFormatting>
  <conditionalFormatting sqref="M88">
    <cfRule type="expression" dxfId="0" priority="1">
      <formula>AND(I88&gt;0,L88&lt;&gt;"",I88&lt;L88*0.95)</formula>
    </cfRule>
  </conditionalFormatting>
  <dataValidations count="9">
    <dataValidation type="list" sqref="D16 H32:H64 H66:H68 H73:H74 H81:H82 H88" xr:uid="{00000000-0002-0000-0000-000000000000}">
      <formula1>"EUR,USD,GBP,NOK,DKK,SEK,CHF,JPY,CNY,AUD,CAD"</formula1>
    </dataValidation>
    <dataValidation type="list" allowBlank="1" sqref="D11" xr:uid="{00000000-0002-0000-0000-000001000000}">
      <formula1>"Nylon,ECONYL (Recycled Nylon),HMPE,Voyager Tech (HDPE),Voyager 520x,Marvox,Combex,NEXA,Voyager 380,Voyager Enviro,Bespoke"</formula1>
    </dataValidation>
    <dataValidation type="list" allowBlank="1" sqref="D14" xr:uid="{00000000-0002-0000-0000-000002000000}">
      <formula1>"Scotland &amp; UK,Faroes,Iceland,Norway Refa,Canada,South Europe and North Africa,Norway,Baltic and Caspian sea,Australia - Far east,Saudi - Oman,Other"</formula1>
    </dataValidation>
    <dataValidation type="list" allowBlank="1" sqref="D15" xr:uid="{00000000-0002-0000-0000-000003000000}">
      <formula1>"Aurangabad - India,Plunge - Lithuania,Siauliai - Lithuania,Amposta - Spain,Hildre - Norway"</formula1>
    </dataValidation>
    <dataValidation type="list" allowBlank="1" sqref="D17" xr:uid="{00000000-0002-0000-0000-000004000000}">
      <formula1>"EXW,FCA,FAS,FOB,CFR,CIF,CPT,CIP,DAP,DPU,DDP"</formula1>
    </dataValidation>
    <dataValidation type="list" allowBlank="1" sqref="C2:C5" xr:uid="{00000000-0002-0000-0000-000005000000}">
      <formula1>",Check"</formula1>
    </dataValidation>
    <dataValidation type="list" allowBlank="1" sqref="C6" xr:uid="{00000000-0002-0000-0000-000006000000}">
      <formula1>"Open,Won,Won but different offer,Lost due to price,Lost due to lead-time,Lost due to other - pls specify"</formula1>
    </dataValidation>
    <dataValidation type="list" sqref="B25" xr:uid="{00000000-0002-0000-0000-000007000000}">
      <formula1>"Under Calculation,Frozen"</formula1>
    </dataValidation>
    <dataValidation type="list" errorStyle="warning" allowBlank="1" showInputMessage="1" promptTitle="Transit" prompt="Select transit time" sqref="H99" xr:uid="{F4A971F6-886A-4B0A-969C-F96C1AEA7C9A}">
      <mc:AlternateContent xmlns:x12ac="http://schemas.microsoft.com/office/spreadsheetml/2011/1/ac" xmlns:mc="http://schemas.openxmlformats.org/markup-compatibility/2006">
        <mc:Choice Requires="x12ac">
          <x12ac:list>"""1 week",2 weeks,3 weeks,4 weeks,5 weeks,6 weeks,7 weeks,8 weeks,9 weeks,10 weeks,11 weeks,12 weeks,13 weeks,14 weeks,15 weeks,"16 weeks"""</x12ac:list>
        </mc:Choice>
        <mc:Fallback>
          <formula1>"""1 week,2 weeks,3 weeks,4 weeks,5 weeks,6 weeks,7 weeks,8 weeks,9 weeks,10 weeks,11 weeks,12 weeks,13 weeks,14 weeks,15 weeks,16 weeks"""</formula1>
        </mc:Fallback>
      </mc:AlternateContent>
    </dataValidation>
  </dataValidations>
  <pageMargins left="0.7" right="0.7" top="0.75" bottom="0.75" header="0.3" footer="0.3"/>
  <pageSetup paperSize="9" orientation="portrait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 promptTitle="Week" prompt="Select delivery week" xr:uid="{5B3F2017-1875-4F52-80F4-DAAD82BAFF55}">
          <x14:formula1>
            <xm:f>Lists!$A$1:$A$52</xm:f>
          </x14:formula1>
          <xm:sqref>H96:H97</xm:sqref>
        </x14:dataValidation>
        <x14:dataValidation type="list" errorStyle="warning" allowBlank="1" showInputMessage="1" promptTitle="Nets" prompt="Number of nets per container" xr:uid="{F69E075B-DE60-4484-B0E2-99905B265814}">
          <x14:formula1>
            <xm:f>Lists!$D$1:$D$100</xm:f>
          </x14:formula1>
          <xm:sqref>H98</xm:sqref>
        </x14:dataValidation>
        <x14:dataValidation type="list" errorStyle="warning" allowBlank="1" showInputMessage="1" promptTitle="Week" prompt="Estimated delivery week" xr:uid="{49B06E0E-16A6-4B1C-9019-D8BB719F2ABB}">
          <x14:formula1>
            <xm:f>Lists!$A$1:$A$52</xm:f>
          </x14:formula1>
          <xm:sqref>H101</xm:sqref>
        </x14:dataValidation>
        <x14:dataValidation type="list" errorStyle="warning" allowBlank="1" showInputMessage="1" promptTitle="Year" prompt="Delivery year" xr:uid="{BCF8B8DD-E7D7-4E47-AD25-21420022453E}">
          <x14:formula1>
            <xm:f>Lists!$B$1:$B$6</xm:f>
          </x14:formula1>
          <xm:sqref>H102</xm:sqref>
        </x14:dataValidation>
        <x14:dataValidation type="list" errorStyle="warning" allowBlank="1" showInputMessage="1" promptTitle="Country" prompt="Deliver to country" xr:uid="{C66EB51A-E1BB-491C-B278-43E996288FC1}">
          <x14:formula1>
            <xm:f>Lists!$C$1:$C$16</xm:f>
          </x14:formula1>
          <xm:sqref>H103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2"/>
  <sheetViews>
    <sheetView workbookViewId="0"/>
  </sheetViews>
  <sheetFormatPr defaultColWidth="8.85546875" defaultRowHeight="15" x14ac:dyDescent="0.25"/>
  <cols>
    <col min="1" max="1" width="12" customWidth="1"/>
    <col min="2" max="3" width="22" customWidth="1"/>
    <col min="5" max="5" width="16" customWidth="1"/>
    <col min="6" max="6" width="20" customWidth="1"/>
  </cols>
  <sheetData>
    <row r="1" spans="1:6" x14ac:dyDescent="0.25">
      <c r="A1" s="201" t="s">
        <v>58</v>
      </c>
      <c r="B1" s="201" t="s">
        <v>131</v>
      </c>
      <c r="C1" s="201" t="s">
        <v>132</v>
      </c>
      <c r="D1" s="201"/>
      <c r="E1" s="201" t="s">
        <v>133</v>
      </c>
      <c r="F1" s="201" t="s">
        <v>134</v>
      </c>
    </row>
    <row r="2" spans="1:6" x14ac:dyDescent="0.25">
      <c r="A2" s="135" t="s">
        <v>34</v>
      </c>
      <c r="B2" s="135">
        <v>1</v>
      </c>
      <c r="C2" s="135">
        <v>1</v>
      </c>
      <c r="D2" s="135"/>
      <c r="E2" s="135" t="s">
        <v>135</v>
      </c>
      <c r="F2" s="135" t="s">
        <v>136</v>
      </c>
    </row>
    <row r="3" spans="1:6" x14ac:dyDescent="0.25">
      <c r="A3" s="135" t="s">
        <v>137</v>
      </c>
      <c r="B3" s="135">
        <v>1.1694</v>
      </c>
      <c r="C3" s="135">
        <v>1.1694</v>
      </c>
      <c r="D3" s="135"/>
      <c r="E3" s="135" t="s">
        <v>138</v>
      </c>
      <c r="F3" s="135" t="s">
        <v>139</v>
      </c>
    </row>
    <row r="4" spans="1:6" x14ac:dyDescent="0.25">
      <c r="A4" s="135" t="s">
        <v>140</v>
      </c>
      <c r="B4" s="135">
        <v>0.86575000000000002</v>
      </c>
      <c r="C4" s="135">
        <v>0.86575000000000002</v>
      </c>
      <c r="D4" s="135"/>
      <c r="E4" s="135"/>
      <c r="F4" s="135"/>
    </row>
    <row r="5" spans="1:6" x14ac:dyDescent="0.25">
      <c r="A5" s="135" t="s">
        <v>141</v>
      </c>
      <c r="B5" s="135">
        <v>10.913</v>
      </c>
      <c r="C5" s="135">
        <v>10.913</v>
      </c>
      <c r="D5" s="135"/>
      <c r="E5" s="135"/>
      <c r="F5" s="135"/>
    </row>
    <row r="6" spans="1:6" x14ac:dyDescent="0.25">
      <c r="A6" s="135" t="s">
        <v>142</v>
      </c>
      <c r="B6" s="135">
        <v>7.4729999999999999</v>
      </c>
      <c r="C6" s="135">
        <v>7.4729999999999999</v>
      </c>
      <c r="D6" s="135"/>
      <c r="E6" s="135"/>
      <c r="F6" s="135"/>
    </row>
    <row r="7" spans="1:6" x14ac:dyDescent="0.25">
      <c r="A7" s="135" t="s">
        <v>143</v>
      </c>
      <c r="B7" s="135">
        <v>10.779500000000001</v>
      </c>
      <c r="C7" s="135">
        <v>10.779500000000001</v>
      </c>
      <c r="D7" s="135"/>
      <c r="E7" s="135"/>
      <c r="F7" s="135"/>
    </row>
    <row r="8" spans="1:6" x14ac:dyDescent="0.25">
      <c r="A8" s="135" t="s">
        <v>144</v>
      </c>
      <c r="B8" s="135">
        <v>0.91769999999999996</v>
      </c>
      <c r="C8" s="135">
        <v>0.91769999999999996</v>
      </c>
      <c r="D8" s="135"/>
      <c r="E8" s="135"/>
      <c r="F8" s="135"/>
    </row>
    <row r="9" spans="1:6" x14ac:dyDescent="0.25">
      <c r="A9" s="135" t="s">
        <v>145</v>
      </c>
      <c r="B9" s="135">
        <v>186.5</v>
      </c>
      <c r="C9" s="135">
        <v>186.5</v>
      </c>
      <c r="D9" s="135"/>
      <c r="E9" s="135"/>
      <c r="F9" s="135"/>
    </row>
    <row r="10" spans="1:6" x14ac:dyDescent="0.25">
      <c r="A10" s="135" t="s">
        <v>146</v>
      </c>
      <c r="B10" s="135">
        <v>7.9927999999999999</v>
      </c>
      <c r="C10" s="135">
        <v>7.9927999999999999</v>
      </c>
      <c r="D10" s="135"/>
      <c r="E10" s="135"/>
      <c r="F10" s="135"/>
    </row>
    <row r="11" spans="1:6" x14ac:dyDescent="0.25">
      <c r="A11" s="135" t="s">
        <v>147</v>
      </c>
      <c r="B11" s="135">
        <v>1.6347</v>
      </c>
      <c r="C11" s="135">
        <v>1.6347</v>
      </c>
      <c r="D11" s="135"/>
      <c r="E11" s="135"/>
      <c r="F11" s="135"/>
    </row>
    <row r="12" spans="1:6" x14ac:dyDescent="0.25">
      <c r="A12" s="135" t="s">
        <v>148</v>
      </c>
      <c r="B12" s="135">
        <v>1.5986</v>
      </c>
      <c r="C12" s="135">
        <v>1.5986</v>
      </c>
      <c r="D12" s="135"/>
      <c r="E12" s="135"/>
      <c r="F12" s="135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2"/>
  <sheetViews>
    <sheetView workbookViewId="0">
      <selection activeCell="B17" sqref="B17"/>
    </sheetView>
  </sheetViews>
  <sheetFormatPr defaultColWidth="8.85546875" defaultRowHeight="15" x14ac:dyDescent="0.25"/>
  <cols>
    <col min="1" max="1" width="35" customWidth="1"/>
    <col min="2" max="2" width="12" customWidth="1"/>
  </cols>
  <sheetData>
    <row r="1" spans="1:2" x14ac:dyDescent="0.25">
      <c r="A1" s="201" t="s">
        <v>149</v>
      </c>
      <c r="B1" s="201" t="s">
        <v>150</v>
      </c>
    </row>
    <row r="2" spans="1:2" x14ac:dyDescent="0.25">
      <c r="A2" s="135" t="s">
        <v>151</v>
      </c>
      <c r="B2" s="202">
        <v>0.22520000000000001</v>
      </c>
    </row>
    <row r="3" spans="1:2" x14ac:dyDescent="0.25">
      <c r="A3" s="135" t="s">
        <v>152</v>
      </c>
      <c r="B3" s="202">
        <v>0.2306</v>
      </c>
    </row>
    <row r="4" spans="1:2" x14ac:dyDescent="0.25">
      <c r="A4" s="135" t="s">
        <v>153</v>
      </c>
      <c r="B4" s="202">
        <v>0.22</v>
      </c>
    </row>
    <row r="5" spans="1:2" x14ac:dyDescent="0.25">
      <c r="A5" s="135" t="s">
        <v>154</v>
      </c>
      <c r="B5" s="202">
        <v>0.21460000000000001</v>
      </c>
    </row>
    <row r="6" spans="1:2" x14ac:dyDescent="0.25">
      <c r="A6" s="135" t="s">
        <v>155</v>
      </c>
      <c r="B6" s="202">
        <v>0.26029999999999998</v>
      </c>
    </row>
    <row r="7" spans="1:2" x14ac:dyDescent="0.25">
      <c r="A7" s="135" t="s">
        <v>156</v>
      </c>
      <c r="B7" s="202">
        <v>0.25</v>
      </c>
    </row>
    <row r="8" spans="1:2" x14ac:dyDescent="0.25">
      <c r="A8" s="135" t="s">
        <v>27</v>
      </c>
      <c r="B8" s="202">
        <v>0.1593</v>
      </c>
    </row>
    <row r="9" spans="1:2" x14ac:dyDescent="0.25">
      <c r="A9" s="135" t="s">
        <v>157</v>
      </c>
      <c r="B9" s="202">
        <v>0.25</v>
      </c>
    </row>
    <row r="10" spans="1:2" x14ac:dyDescent="0.25">
      <c r="A10" s="135" t="s">
        <v>158</v>
      </c>
      <c r="B10" s="202">
        <v>0.25</v>
      </c>
    </row>
    <row r="11" spans="1:2" x14ac:dyDescent="0.25">
      <c r="A11" s="135" t="s">
        <v>159</v>
      </c>
      <c r="B11" s="202">
        <v>0.25</v>
      </c>
    </row>
    <row r="12" spans="1:2" x14ac:dyDescent="0.25">
      <c r="A12" s="135" t="s">
        <v>160</v>
      </c>
      <c r="B12" s="202">
        <v>0.25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9"/>
  <sheetViews>
    <sheetView workbookViewId="0">
      <selection activeCell="D5" sqref="D5"/>
    </sheetView>
  </sheetViews>
  <sheetFormatPr defaultColWidth="8.85546875" defaultRowHeight="15" x14ac:dyDescent="0.25"/>
  <cols>
    <col min="1" max="1" width="26" customWidth="1"/>
    <col min="2" max="13" width="14" customWidth="1"/>
  </cols>
  <sheetData>
    <row r="1" spans="1:12" ht="30" customHeight="1" x14ac:dyDescent="0.25">
      <c r="A1" s="203" t="s">
        <v>161</v>
      </c>
      <c r="B1" s="204" t="s">
        <v>151</v>
      </c>
      <c r="C1" s="204" t="s">
        <v>152</v>
      </c>
      <c r="D1" s="204" t="s">
        <v>153</v>
      </c>
      <c r="E1" s="204" t="s">
        <v>154</v>
      </c>
      <c r="F1" s="204" t="s">
        <v>155</v>
      </c>
      <c r="G1" s="204" t="s">
        <v>156</v>
      </c>
      <c r="H1" s="204" t="s">
        <v>27</v>
      </c>
      <c r="I1" s="204" t="s">
        <v>157</v>
      </c>
      <c r="J1" s="204" t="s">
        <v>158</v>
      </c>
      <c r="K1" s="204" t="s">
        <v>159</v>
      </c>
      <c r="L1" s="204" t="s">
        <v>160</v>
      </c>
    </row>
    <row r="2" spans="1:12" ht="18" customHeight="1" x14ac:dyDescent="0.25">
      <c r="A2" s="205" t="s">
        <v>162</v>
      </c>
      <c r="B2" s="206">
        <v>0</v>
      </c>
      <c r="C2" s="207" t="s">
        <v>2</v>
      </c>
      <c r="D2" s="207" t="s">
        <v>2</v>
      </c>
      <c r="E2" s="206">
        <v>0</v>
      </c>
      <c r="F2" s="207" t="s">
        <v>2</v>
      </c>
      <c r="G2" s="207" t="s">
        <v>2</v>
      </c>
      <c r="H2" s="206">
        <v>0</v>
      </c>
      <c r="I2" s="207" t="s">
        <v>2</v>
      </c>
      <c r="J2" s="207" t="s">
        <v>2</v>
      </c>
      <c r="K2" s="207" t="s">
        <v>2</v>
      </c>
      <c r="L2" s="207" t="s">
        <v>2</v>
      </c>
    </row>
    <row r="3" spans="1:12" ht="18" customHeight="1" x14ac:dyDescent="0.25">
      <c r="A3" s="205" t="s">
        <v>30</v>
      </c>
      <c r="B3" s="206">
        <v>0</v>
      </c>
      <c r="C3" s="206">
        <v>0</v>
      </c>
      <c r="D3" s="206">
        <v>0</v>
      </c>
      <c r="E3" s="206">
        <v>0</v>
      </c>
      <c r="F3" s="207" t="s">
        <v>2</v>
      </c>
      <c r="G3" s="206">
        <v>0</v>
      </c>
      <c r="H3" s="206">
        <v>0</v>
      </c>
      <c r="I3" s="207" t="s">
        <v>2</v>
      </c>
      <c r="J3" s="207" t="s">
        <v>2</v>
      </c>
      <c r="K3" s="207" t="s">
        <v>2</v>
      </c>
      <c r="L3" s="207" t="s">
        <v>2</v>
      </c>
    </row>
    <row r="4" spans="1:12" ht="18" customHeight="1" x14ac:dyDescent="0.25">
      <c r="A4" s="205" t="s">
        <v>163</v>
      </c>
      <c r="B4" s="206">
        <v>0</v>
      </c>
      <c r="C4" s="206">
        <v>0</v>
      </c>
      <c r="D4" s="206">
        <v>0</v>
      </c>
      <c r="E4" s="206">
        <v>0</v>
      </c>
      <c r="F4" s="207" t="s">
        <v>2</v>
      </c>
      <c r="G4" s="206">
        <v>0</v>
      </c>
      <c r="H4" s="206">
        <v>0</v>
      </c>
      <c r="I4" s="207" t="s">
        <v>2</v>
      </c>
      <c r="J4" s="207" t="s">
        <v>2</v>
      </c>
      <c r="K4" s="207" t="s">
        <v>2</v>
      </c>
      <c r="L4" s="207" t="s">
        <v>2</v>
      </c>
    </row>
    <row r="5" spans="1:12" ht="18" customHeight="1" x14ac:dyDescent="0.25">
      <c r="A5" s="205" t="s">
        <v>164</v>
      </c>
      <c r="B5" s="206">
        <v>0</v>
      </c>
      <c r="C5" s="206">
        <v>0</v>
      </c>
      <c r="D5" s="206">
        <v>0</v>
      </c>
      <c r="E5" s="206">
        <v>0</v>
      </c>
      <c r="F5" s="207" t="s">
        <v>2</v>
      </c>
      <c r="G5" s="206">
        <v>0</v>
      </c>
      <c r="H5" s="206">
        <v>0</v>
      </c>
      <c r="I5" s="207" t="s">
        <v>2</v>
      </c>
      <c r="J5" s="207" t="s">
        <v>2</v>
      </c>
      <c r="K5" s="207" t="s">
        <v>2</v>
      </c>
      <c r="L5" s="207" t="s">
        <v>2</v>
      </c>
    </row>
    <row r="6" spans="1:12" ht="18" customHeight="1" x14ac:dyDescent="0.25">
      <c r="A6" s="205" t="s">
        <v>165</v>
      </c>
      <c r="B6" s="206">
        <v>0</v>
      </c>
      <c r="C6" s="206">
        <v>0</v>
      </c>
      <c r="D6" s="206">
        <v>0</v>
      </c>
      <c r="E6" s="206">
        <v>0</v>
      </c>
      <c r="F6" s="207" t="s">
        <v>2</v>
      </c>
      <c r="G6" s="206">
        <v>0</v>
      </c>
      <c r="H6" s="206">
        <v>0</v>
      </c>
      <c r="I6" s="207" t="s">
        <v>2</v>
      </c>
      <c r="J6" s="207" t="s">
        <v>2</v>
      </c>
      <c r="K6" s="207" t="s">
        <v>2</v>
      </c>
      <c r="L6" s="207" t="s">
        <v>2</v>
      </c>
    </row>
    <row r="7" spans="1:12" ht="18" customHeight="1" x14ac:dyDescent="0.25">
      <c r="A7" s="135"/>
      <c r="B7" s="135"/>
      <c r="C7" s="135"/>
      <c r="D7" s="135"/>
      <c r="E7" s="135"/>
      <c r="F7" s="135"/>
      <c r="G7" s="135"/>
      <c r="H7" s="135"/>
      <c r="I7" s="135"/>
      <c r="J7" s="135"/>
      <c r="K7" s="135"/>
      <c r="L7" s="135"/>
    </row>
    <row r="8" spans="1:12" x14ac:dyDescent="0.25">
      <c r="A8" s="208" t="s">
        <v>166</v>
      </c>
      <c r="B8" s="135"/>
      <c r="C8" s="135"/>
      <c r="D8" s="135"/>
      <c r="E8" s="135"/>
      <c r="F8" s="135"/>
      <c r="G8" s="135"/>
      <c r="H8" s="135"/>
      <c r="I8" s="135"/>
      <c r="J8" s="135"/>
      <c r="K8" s="135"/>
      <c r="L8" s="135"/>
    </row>
    <row r="9" spans="1:12" x14ac:dyDescent="0.25">
      <c r="A9" s="208" t="s">
        <v>167</v>
      </c>
      <c r="B9" s="135"/>
      <c r="C9" s="135"/>
      <c r="D9" s="135"/>
      <c r="E9" s="135"/>
      <c r="F9" s="135"/>
      <c r="G9" s="135"/>
      <c r="H9" s="135"/>
      <c r="I9" s="135"/>
      <c r="J9" s="135"/>
      <c r="K9" s="135"/>
      <c r="L9" s="135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00"/>
  <sheetViews>
    <sheetView workbookViewId="0">
      <selection activeCell="C27" sqref="C27"/>
    </sheetView>
  </sheetViews>
  <sheetFormatPr defaultColWidth="8.85546875" defaultRowHeight="15" x14ac:dyDescent="0.25"/>
  <cols>
    <col min="1" max="1" width="10" customWidth="1"/>
    <col min="2" max="2" width="8" customWidth="1"/>
    <col min="3" max="3" width="18" customWidth="1"/>
    <col min="4" max="4" width="8" customWidth="1"/>
  </cols>
  <sheetData>
    <row r="1" spans="1:4" x14ac:dyDescent="0.25">
      <c r="A1" s="135" t="s">
        <v>168</v>
      </c>
      <c r="B1" s="135">
        <v>2025</v>
      </c>
      <c r="C1" s="135" t="s">
        <v>27</v>
      </c>
      <c r="D1" s="135">
        <v>1</v>
      </c>
    </row>
    <row r="2" spans="1:4" x14ac:dyDescent="0.25">
      <c r="A2" s="135" t="s">
        <v>169</v>
      </c>
      <c r="B2" s="135">
        <v>2026</v>
      </c>
      <c r="C2" s="135" t="s">
        <v>170</v>
      </c>
      <c r="D2" s="135">
        <v>2</v>
      </c>
    </row>
    <row r="3" spans="1:4" x14ac:dyDescent="0.25">
      <c r="A3" s="135" t="s">
        <v>117</v>
      </c>
      <c r="B3" s="135">
        <v>2027</v>
      </c>
      <c r="C3" s="135" t="s">
        <v>171</v>
      </c>
      <c r="D3" s="135">
        <v>3</v>
      </c>
    </row>
    <row r="4" spans="1:4" x14ac:dyDescent="0.25">
      <c r="A4" s="135" t="s">
        <v>172</v>
      </c>
      <c r="B4" s="135">
        <v>2028</v>
      </c>
      <c r="C4" s="135" t="s">
        <v>153</v>
      </c>
      <c r="D4" s="135">
        <v>4</v>
      </c>
    </row>
    <row r="5" spans="1:4" x14ac:dyDescent="0.25">
      <c r="A5" s="135" t="s">
        <v>173</v>
      </c>
      <c r="B5" s="135">
        <v>2029</v>
      </c>
      <c r="C5" s="135" t="s">
        <v>155</v>
      </c>
      <c r="D5" s="135">
        <v>5</v>
      </c>
    </row>
    <row r="6" spans="1:4" x14ac:dyDescent="0.25">
      <c r="A6" s="135" t="s">
        <v>119</v>
      </c>
      <c r="B6" s="135">
        <v>2030</v>
      </c>
      <c r="C6" s="135" t="s">
        <v>174</v>
      </c>
      <c r="D6" s="135">
        <v>6</v>
      </c>
    </row>
    <row r="7" spans="1:4" x14ac:dyDescent="0.25">
      <c r="A7" s="135" t="s">
        <v>175</v>
      </c>
      <c r="B7" s="135"/>
      <c r="C7" s="135" t="s">
        <v>176</v>
      </c>
      <c r="D7" s="135">
        <v>7</v>
      </c>
    </row>
    <row r="8" spans="1:4" x14ac:dyDescent="0.25">
      <c r="A8" s="135" t="s">
        <v>177</v>
      </c>
      <c r="B8" s="135"/>
      <c r="C8" s="135" t="s">
        <v>178</v>
      </c>
      <c r="D8" s="135">
        <v>8</v>
      </c>
    </row>
    <row r="9" spans="1:4" x14ac:dyDescent="0.25">
      <c r="A9" s="135" t="s">
        <v>179</v>
      </c>
      <c r="B9" s="135"/>
      <c r="C9" s="135" t="s">
        <v>180</v>
      </c>
      <c r="D9" s="135">
        <v>9</v>
      </c>
    </row>
    <row r="10" spans="1:4" x14ac:dyDescent="0.25">
      <c r="A10" s="135" t="s">
        <v>181</v>
      </c>
      <c r="B10" s="135"/>
      <c r="C10" s="135" t="s">
        <v>182</v>
      </c>
      <c r="D10" s="135">
        <v>10</v>
      </c>
    </row>
    <row r="11" spans="1:4" x14ac:dyDescent="0.25">
      <c r="A11" s="135" t="s">
        <v>183</v>
      </c>
      <c r="B11" s="135"/>
      <c r="C11" s="135" t="s">
        <v>184</v>
      </c>
      <c r="D11" s="135">
        <v>11</v>
      </c>
    </row>
    <row r="12" spans="1:4" x14ac:dyDescent="0.25">
      <c r="A12" s="135" t="s">
        <v>185</v>
      </c>
      <c r="B12" s="135"/>
      <c r="C12" s="135" t="s">
        <v>186</v>
      </c>
      <c r="D12" s="135">
        <v>12</v>
      </c>
    </row>
    <row r="13" spans="1:4" x14ac:dyDescent="0.25">
      <c r="A13" s="135" t="s">
        <v>187</v>
      </c>
      <c r="B13" s="135"/>
      <c r="C13" s="135" t="s">
        <v>188</v>
      </c>
      <c r="D13" s="135">
        <v>13</v>
      </c>
    </row>
    <row r="14" spans="1:4" x14ac:dyDescent="0.25">
      <c r="A14" s="135" t="s">
        <v>189</v>
      </c>
      <c r="B14" s="135"/>
      <c r="C14" s="135" t="s">
        <v>190</v>
      </c>
      <c r="D14" s="135">
        <v>14</v>
      </c>
    </row>
    <row r="15" spans="1:4" x14ac:dyDescent="0.25">
      <c r="A15" s="135" t="s">
        <v>191</v>
      </c>
      <c r="B15" s="135"/>
      <c r="C15" s="135" t="s">
        <v>192</v>
      </c>
      <c r="D15" s="135">
        <v>15</v>
      </c>
    </row>
    <row r="16" spans="1:4" x14ac:dyDescent="0.25">
      <c r="A16" s="135" t="s">
        <v>193</v>
      </c>
      <c r="B16" s="135"/>
      <c r="C16" s="135" t="s">
        <v>160</v>
      </c>
      <c r="D16" s="135">
        <v>16</v>
      </c>
    </row>
    <row r="17" spans="1:4" x14ac:dyDescent="0.25">
      <c r="A17" s="135" t="s">
        <v>194</v>
      </c>
      <c r="B17" s="135"/>
      <c r="C17" s="135"/>
      <c r="D17" s="135">
        <v>17</v>
      </c>
    </row>
    <row r="18" spans="1:4" x14ac:dyDescent="0.25">
      <c r="A18" s="135" t="s">
        <v>124</v>
      </c>
      <c r="B18" s="135"/>
      <c r="C18" s="135"/>
      <c r="D18" s="135">
        <v>18</v>
      </c>
    </row>
    <row r="19" spans="1:4" x14ac:dyDescent="0.25">
      <c r="A19" s="135" t="s">
        <v>195</v>
      </c>
      <c r="B19" s="135"/>
      <c r="C19" s="135"/>
      <c r="D19" s="135">
        <v>19</v>
      </c>
    </row>
    <row r="20" spans="1:4" x14ac:dyDescent="0.25">
      <c r="A20" s="135" t="s">
        <v>196</v>
      </c>
      <c r="B20" s="135"/>
      <c r="C20" s="135"/>
      <c r="D20" s="135">
        <v>20</v>
      </c>
    </row>
    <row r="21" spans="1:4" x14ac:dyDescent="0.25">
      <c r="A21" s="135" t="s">
        <v>197</v>
      </c>
      <c r="B21" s="135"/>
      <c r="C21" s="135"/>
      <c r="D21" s="135">
        <v>21</v>
      </c>
    </row>
    <row r="22" spans="1:4" x14ac:dyDescent="0.25">
      <c r="A22" s="135" t="s">
        <v>198</v>
      </c>
      <c r="B22" s="135"/>
      <c r="C22" s="135"/>
      <c r="D22" s="135">
        <v>22</v>
      </c>
    </row>
    <row r="23" spans="1:4" x14ac:dyDescent="0.25">
      <c r="A23" s="135" t="s">
        <v>199</v>
      </c>
      <c r="B23" s="135"/>
      <c r="C23" s="135"/>
      <c r="D23" s="135">
        <v>23</v>
      </c>
    </row>
    <row r="24" spans="1:4" x14ac:dyDescent="0.25">
      <c r="A24" s="135" t="s">
        <v>200</v>
      </c>
      <c r="B24" s="135"/>
      <c r="C24" s="135"/>
      <c r="D24" s="135">
        <v>24</v>
      </c>
    </row>
    <row r="25" spans="1:4" x14ac:dyDescent="0.25">
      <c r="A25" s="135" t="s">
        <v>201</v>
      </c>
      <c r="B25" s="135"/>
      <c r="C25" s="135"/>
      <c r="D25" s="135">
        <v>25</v>
      </c>
    </row>
    <row r="26" spans="1:4" x14ac:dyDescent="0.25">
      <c r="A26" s="135" t="s">
        <v>202</v>
      </c>
      <c r="B26" s="135"/>
      <c r="C26" s="135"/>
      <c r="D26" s="135">
        <v>26</v>
      </c>
    </row>
    <row r="27" spans="1:4" x14ac:dyDescent="0.25">
      <c r="A27" s="135" t="s">
        <v>203</v>
      </c>
      <c r="B27" s="135"/>
      <c r="C27" s="135"/>
      <c r="D27" s="135">
        <v>27</v>
      </c>
    </row>
    <row r="28" spans="1:4" x14ac:dyDescent="0.25">
      <c r="A28" s="135" t="s">
        <v>204</v>
      </c>
      <c r="B28" s="135"/>
      <c r="C28" s="135"/>
      <c r="D28" s="135">
        <v>28</v>
      </c>
    </row>
    <row r="29" spans="1:4" x14ac:dyDescent="0.25">
      <c r="A29" s="135" t="s">
        <v>205</v>
      </c>
      <c r="B29" s="135"/>
      <c r="C29" s="135"/>
      <c r="D29" s="135">
        <v>29</v>
      </c>
    </row>
    <row r="30" spans="1:4" x14ac:dyDescent="0.25">
      <c r="A30" s="135" t="s">
        <v>206</v>
      </c>
      <c r="B30" s="135"/>
      <c r="C30" s="135"/>
      <c r="D30" s="135">
        <v>30</v>
      </c>
    </row>
    <row r="31" spans="1:4" x14ac:dyDescent="0.25">
      <c r="A31" s="135" t="s">
        <v>207</v>
      </c>
      <c r="B31" s="135"/>
      <c r="C31" s="135"/>
      <c r="D31" s="135">
        <v>31</v>
      </c>
    </row>
    <row r="32" spans="1:4" x14ac:dyDescent="0.25">
      <c r="A32" s="135" t="s">
        <v>208</v>
      </c>
      <c r="B32" s="135"/>
      <c r="C32" s="135"/>
      <c r="D32" s="135">
        <v>32</v>
      </c>
    </row>
    <row r="33" spans="1:4" x14ac:dyDescent="0.25">
      <c r="A33" s="135" t="s">
        <v>209</v>
      </c>
      <c r="B33" s="135"/>
      <c r="C33" s="135"/>
      <c r="D33" s="135">
        <v>33</v>
      </c>
    </row>
    <row r="34" spans="1:4" x14ac:dyDescent="0.25">
      <c r="A34" s="135" t="s">
        <v>210</v>
      </c>
      <c r="B34" s="135"/>
      <c r="C34" s="135"/>
      <c r="D34" s="135">
        <v>34</v>
      </c>
    </row>
    <row r="35" spans="1:4" x14ac:dyDescent="0.25">
      <c r="A35" s="135" t="s">
        <v>211</v>
      </c>
      <c r="B35" s="135"/>
      <c r="C35" s="135"/>
      <c r="D35" s="135">
        <v>35</v>
      </c>
    </row>
    <row r="36" spans="1:4" x14ac:dyDescent="0.25">
      <c r="A36" s="135" t="s">
        <v>212</v>
      </c>
      <c r="B36" s="135"/>
      <c r="C36" s="135"/>
      <c r="D36" s="135">
        <v>36</v>
      </c>
    </row>
    <row r="37" spans="1:4" x14ac:dyDescent="0.25">
      <c r="A37" s="135" t="s">
        <v>213</v>
      </c>
      <c r="B37" s="135"/>
      <c r="C37" s="135"/>
      <c r="D37" s="135">
        <v>37</v>
      </c>
    </row>
    <row r="38" spans="1:4" x14ac:dyDescent="0.25">
      <c r="A38" s="135" t="s">
        <v>214</v>
      </c>
      <c r="B38" s="135"/>
      <c r="C38" s="135"/>
      <c r="D38" s="135">
        <v>38</v>
      </c>
    </row>
    <row r="39" spans="1:4" x14ac:dyDescent="0.25">
      <c r="A39" s="135" t="s">
        <v>215</v>
      </c>
      <c r="B39" s="135"/>
      <c r="C39" s="135"/>
      <c r="D39" s="135">
        <v>39</v>
      </c>
    </row>
    <row r="40" spans="1:4" x14ac:dyDescent="0.25">
      <c r="A40" s="135" t="s">
        <v>216</v>
      </c>
      <c r="B40" s="135"/>
      <c r="C40" s="135"/>
      <c r="D40" s="135">
        <v>40</v>
      </c>
    </row>
    <row r="41" spans="1:4" x14ac:dyDescent="0.25">
      <c r="A41" s="135" t="s">
        <v>217</v>
      </c>
      <c r="B41" s="135"/>
      <c r="C41" s="135"/>
      <c r="D41" s="135">
        <v>41</v>
      </c>
    </row>
    <row r="42" spans="1:4" x14ac:dyDescent="0.25">
      <c r="A42" s="135" t="s">
        <v>218</v>
      </c>
      <c r="B42" s="135"/>
      <c r="C42" s="135"/>
      <c r="D42" s="135">
        <v>42</v>
      </c>
    </row>
    <row r="43" spans="1:4" x14ac:dyDescent="0.25">
      <c r="A43" s="135" t="s">
        <v>219</v>
      </c>
      <c r="B43" s="135"/>
      <c r="C43" s="135"/>
      <c r="D43" s="135">
        <v>43</v>
      </c>
    </row>
    <row r="44" spans="1:4" x14ac:dyDescent="0.25">
      <c r="A44" s="135" t="s">
        <v>220</v>
      </c>
      <c r="B44" s="135"/>
      <c r="C44" s="135"/>
      <c r="D44" s="135">
        <v>44</v>
      </c>
    </row>
    <row r="45" spans="1:4" x14ac:dyDescent="0.25">
      <c r="A45" s="135" t="s">
        <v>221</v>
      </c>
      <c r="B45" s="135"/>
      <c r="C45" s="135"/>
      <c r="D45" s="135">
        <v>45</v>
      </c>
    </row>
    <row r="46" spans="1:4" x14ac:dyDescent="0.25">
      <c r="A46" s="135" t="s">
        <v>222</v>
      </c>
      <c r="B46" s="135"/>
      <c r="C46" s="135"/>
      <c r="D46" s="135">
        <v>46</v>
      </c>
    </row>
    <row r="47" spans="1:4" x14ac:dyDescent="0.25">
      <c r="A47" s="135" t="s">
        <v>223</v>
      </c>
      <c r="B47" s="135"/>
      <c r="C47" s="135"/>
      <c r="D47" s="135">
        <v>47</v>
      </c>
    </row>
    <row r="48" spans="1:4" x14ac:dyDescent="0.25">
      <c r="A48" s="135" t="s">
        <v>224</v>
      </c>
      <c r="B48" s="135"/>
      <c r="C48" s="135"/>
      <c r="D48" s="135">
        <v>48</v>
      </c>
    </row>
    <row r="49" spans="1:4" x14ac:dyDescent="0.25">
      <c r="A49" s="135" t="s">
        <v>225</v>
      </c>
      <c r="B49" s="135"/>
      <c r="C49" s="135"/>
      <c r="D49" s="135">
        <v>49</v>
      </c>
    </row>
    <row r="50" spans="1:4" x14ac:dyDescent="0.25">
      <c r="A50" s="135" t="s">
        <v>226</v>
      </c>
      <c r="B50" s="135"/>
      <c r="C50" s="135"/>
      <c r="D50" s="135">
        <v>50</v>
      </c>
    </row>
    <row r="51" spans="1:4" x14ac:dyDescent="0.25">
      <c r="A51" s="135" t="s">
        <v>227</v>
      </c>
      <c r="B51" s="135"/>
      <c r="C51" s="135"/>
      <c r="D51" s="135">
        <v>51</v>
      </c>
    </row>
    <row r="52" spans="1:4" x14ac:dyDescent="0.25">
      <c r="A52" s="135" t="s">
        <v>228</v>
      </c>
      <c r="B52" s="135"/>
      <c r="C52" s="135"/>
      <c r="D52" s="135">
        <v>52</v>
      </c>
    </row>
    <row r="53" spans="1:4" x14ac:dyDescent="0.25">
      <c r="A53" s="135"/>
      <c r="B53" s="135"/>
      <c r="C53" s="135"/>
      <c r="D53" s="135">
        <v>53</v>
      </c>
    </row>
    <row r="54" spans="1:4" x14ac:dyDescent="0.25">
      <c r="A54" s="135"/>
      <c r="B54" s="135"/>
      <c r="C54" s="135"/>
      <c r="D54" s="135">
        <v>54</v>
      </c>
    </row>
    <row r="55" spans="1:4" x14ac:dyDescent="0.25">
      <c r="A55" s="135"/>
      <c r="B55" s="135"/>
      <c r="C55" s="135"/>
      <c r="D55" s="135">
        <v>55</v>
      </c>
    </row>
    <row r="56" spans="1:4" x14ac:dyDescent="0.25">
      <c r="A56" s="135"/>
      <c r="B56" s="135"/>
      <c r="C56" s="135"/>
      <c r="D56" s="135">
        <v>56</v>
      </c>
    </row>
    <row r="57" spans="1:4" x14ac:dyDescent="0.25">
      <c r="A57" s="135"/>
      <c r="B57" s="135"/>
      <c r="C57" s="135"/>
      <c r="D57" s="135">
        <v>57</v>
      </c>
    </row>
    <row r="58" spans="1:4" x14ac:dyDescent="0.25">
      <c r="A58" s="135"/>
      <c r="B58" s="135"/>
      <c r="C58" s="135"/>
      <c r="D58" s="135">
        <v>58</v>
      </c>
    </row>
    <row r="59" spans="1:4" x14ac:dyDescent="0.25">
      <c r="A59" s="135"/>
      <c r="B59" s="135"/>
      <c r="C59" s="135"/>
      <c r="D59" s="135">
        <v>59</v>
      </c>
    </row>
    <row r="60" spans="1:4" x14ac:dyDescent="0.25">
      <c r="A60" s="135"/>
      <c r="B60" s="135"/>
      <c r="C60" s="135"/>
      <c r="D60" s="135">
        <v>60</v>
      </c>
    </row>
    <row r="61" spans="1:4" x14ac:dyDescent="0.25">
      <c r="A61" s="135"/>
      <c r="B61" s="135"/>
      <c r="C61" s="135"/>
      <c r="D61" s="135">
        <v>61</v>
      </c>
    </row>
    <row r="62" spans="1:4" x14ac:dyDescent="0.25">
      <c r="A62" s="135"/>
      <c r="B62" s="135"/>
      <c r="C62" s="135"/>
      <c r="D62" s="135">
        <v>62</v>
      </c>
    </row>
    <row r="63" spans="1:4" x14ac:dyDescent="0.25">
      <c r="A63" s="135"/>
      <c r="B63" s="135"/>
      <c r="C63" s="135"/>
      <c r="D63" s="135">
        <v>63</v>
      </c>
    </row>
    <row r="64" spans="1:4" x14ac:dyDescent="0.25">
      <c r="A64" s="135"/>
      <c r="B64" s="135"/>
      <c r="C64" s="135"/>
      <c r="D64" s="135">
        <v>64</v>
      </c>
    </row>
    <row r="65" spans="4:4" x14ac:dyDescent="0.25">
      <c r="D65" s="135">
        <v>65</v>
      </c>
    </row>
    <row r="66" spans="4:4" x14ac:dyDescent="0.25">
      <c r="D66" s="135">
        <v>66</v>
      </c>
    </row>
    <row r="67" spans="4:4" x14ac:dyDescent="0.25">
      <c r="D67" s="135">
        <v>67</v>
      </c>
    </row>
    <row r="68" spans="4:4" x14ac:dyDescent="0.25">
      <c r="D68" s="135">
        <v>68</v>
      </c>
    </row>
    <row r="69" spans="4:4" x14ac:dyDescent="0.25">
      <c r="D69" s="135">
        <v>69</v>
      </c>
    </row>
    <row r="70" spans="4:4" x14ac:dyDescent="0.25">
      <c r="D70" s="135">
        <v>70</v>
      </c>
    </row>
    <row r="71" spans="4:4" x14ac:dyDescent="0.25">
      <c r="D71" s="135">
        <v>71</v>
      </c>
    </row>
    <row r="72" spans="4:4" x14ac:dyDescent="0.25">
      <c r="D72" s="135">
        <v>72</v>
      </c>
    </row>
    <row r="73" spans="4:4" x14ac:dyDescent="0.25">
      <c r="D73" s="135">
        <v>73</v>
      </c>
    </row>
    <row r="74" spans="4:4" x14ac:dyDescent="0.25">
      <c r="D74" s="135">
        <v>74</v>
      </c>
    </row>
    <row r="75" spans="4:4" x14ac:dyDescent="0.25">
      <c r="D75" s="135">
        <v>75</v>
      </c>
    </row>
    <row r="76" spans="4:4" x14ac:dyDescent="0.25">
      <c r="D76" s="135">
        <v>76</v>
      </c>
    </row>
    <row r="77" spans="4:4" x14ac:dyDescent="0.25">
      <c r="D77" s="135">
        <v>77</v>
      </c>
    </row>
    <row r="78" spans="4:4" x14ac:dyDescent="0.25">
      <c r="D78" s="135">
        <v>78</v>
      </c>
    </row>
    <row r="79" spans="4:4" x14ac:dyDescent="0.25">
      <c r="D79" s="135">
        <v>79</v>
      </c>
    </row>
    <row r="80" spans="4:4" x14ac:dyDescent="0.25">
      <c r="D80" s="135">
        <v>80</v>
      </c>
    </row>
    <row r="81" spans="4:4" x14ac:dyDescent="0.25">
      <c r="D81" s="135">
        <v>81</v>
      </c>
    </row>
    <row r="82" spans="4:4" x14ac:dyDescent="0.25">
      <c r="D82" s="135">
        <v>82</v>
      </c>
    </row>
    <row r="83" spans="4:4" x14ac:dyDescent="0.25">
      <c r="D83" s="135">
        <v>83</v>
      </c>
    </row>
    <row r="84" spans="4:4" x14ac:dyDescent="0.25">
      <c r="D84" s="135">
        <v>84</v>
      </c>
    </row>
    <row r="85" spans="4:4" x14ac:dyDescent="0.25">
      <c r="D85" s="135">
        <v>85</v>
      </c>
    </row>
    <row r="86" spans="4:4" x14ac:dyDescent="0.25">
      <c r="D86" s="135">
        <v>86</v>
      </c>
    </row>
    <row r="87" spans="4:4" x14ac:dyDescent="0.25">
      <c r="D87" s="135">
        <v>87</v>
      </c>
    </row>
    <row r="88" spans="4:4" x14ac:dyDescent="0.25">
      <c r="D88" s="135">
        <v>88</v>
      </c>
    </row>
    <row r="89" spans="4:4" x14ac:dyDescent="0.25">
      <c r="D89" s="135">
        <v>89</v>
      </c>
    </row>
    <row r="90" spans="4:4" x14ac:dyDescent="0.25">
      <c r="D90" s="135">
        <v>90</v>
      </c>
    </row>
    <row r="91" spans="4:4" x14ac:dyDescent="0.25">
      <c r="D91" s="135">
        <v>91</v>
      </c>
    </row>
    <row r="92" spans="4:4" x14ac:dyDescent="0.25">
      <c r="D92" s="135">
        <v>92</v>
      </c>
    </row>
    <row r="93" spans="4:4" x14ac:dyDescent="0.25">
      <c r="D93" s="135">
        <v>93</v>
      </c>
    </row>
    <row r="94" spans="4:4" x14ac:dyDescent="0.25">
      <c r="D94" s="135">
        <v>94</v>
      </c>
    </row>
    <row r="95" spans="4:4" x14ac:dyDescent="0.25">
      <c r="D95" s="135">
        <v>95</v>
      </c>
    </row>
    <row r="96" spans="4:4" x14ac:dyDescent="0.25">
      <c r="D96" s="135">
        <v>96</v>
      </c>
    </row>
    <row r="97" spans="4:4" x14ac:dyDescent="0.25">
      <c r="D97" s="135">
        <v>97</v>
      </c>
    </row>
    <row r="98" spans="4:4" x14ac:dyDescent="0.25">
      <c r="D98" s="135">
        <v>98</v>
      </c>
    </row>
    <row r="99" spans="4:4" x14ac:dyDescent="0.25">
      <c r="D99" s="135">
        <v>99</v>
      </c>
    </row>
    <row r="100" spans="4:4" x14ac:dyDescent="0.25">
      <c r="D100" s="135">
        <v>100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82676fa-7c56-42cf-be42-ed2388064709">
      <Terms xmlns="http://schemas.microsoft.com/office/infopath/2007/PartnerControls"/>
    </lcf76f155ced4ddcb4097134ff3c332f>
    <TaxCatchAll xmlns="f1f4e193-a0c9-4e27-af43-f33d644ecf5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F19CECEB0DD0746A1DCC942DC9D207F" ma:contentTypeVersion="10" ma:contentTypeDescription="Create a new document." ma:contentTypeScope="" ma:versionID="252d0bdf53bbe1913619f522c57e7dad">
  <xsd:schema xmlns:xsd="http://www.w3.org/2001/XMLSchema" xmlns:xs="http://www.w3.org/2001/XMLSchema" xmlns:p="http://schemas.microsoft.com/office/2006/metadata/properties" xmlns:ns2="f82676fa-7c56-42cf-be42-ed2388064709" xmlns:ns3="f1f4e193-a0c9-4e27-af43-f33d644ecf5d" targetNamespace="http://schemas.microsoft.com/office/2006/metadata/properties" ma:root="true" ma:fieldsID="5f18ca375578e8578c8d64e504d6334b" ns2:_="" ns3:_="">
    <xsd:import namespace="f82676fa-7c56-42cf-be42-ed2388064709"/>
    <xsd:import namespace="f1f4e193-a0c9-4e27-af43-f33d644ecf5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2676fa-7c56-42cf-be42-ed23880647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ffcf2394-7fc4-40fa-85d3-af6753c8e6c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4e193-a0c9-4e27-af43-f33d644ecf5d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99cc2cd4-a5a6-450a-aae0-95436b7c6c46}" ma:internalName="TaxCatchAll" ma:showField="CatchAllData" ma:web="f1f4e193-a0c9-4e27-af43-f33d644ecf5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1F64408-7319-429C-A8A7-64DDD7372EB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5C23DE-2B63-41F7-860A-2187C4DF01BC}">
  <ds:schemaRefs>
    <ds:schemaRef ds:uri="http://schemas.microsoft.com/office/2006/metadata/properties"/>
    <ds:schemaRef ds:uri="http://schemas.microsoft.com/office/infopath/2007/PartnerControls"/>
    <ds:schemaRef ds:uri="f82676fa-7c56-42cf-be42-ed2388064709"/>
    <ds:schemaRef ds:uri="f1f4e193-a0c9-4e27-af43-f33d644ecf5d"/>
  </ds:schemaRefs>
</ds:datastoreItem>
</file>

<file path=customXml/itemProps3.xml><?xml version="1.0" encoding="utf-8"?>
<ds:datastoreItem xmlns:ds="http://schemas.openxmlformats.org/officeDocument/2006/customXml" ds:itemID="{24BB05BA-3837-4D03-9DCC-3336DC1F1C9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82676fa-7c56-42cf-be42-ed2388064709"/>
    <ds:schemaRef ds:uri="f1f4e193-a0c9-4e27-af43-f33d644ecf5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Netcage</vt:lpstr>
      <vt:lpstr>FX_Rates</vt:lpstr>
      <vt:lpstr>GP_Budgets</vt:lpstr>
      <vt:lpstr>Duties</vt:lpstr>
      <vt:lpstr>Lists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Arnt Sigurd Dahle</dc:creator>
  <cp:keywords/>
  <dc:description/>
  <cp:lastModifiedBy>Lasse Aspelund</cp:lastModifiedBy>
  <cp:revision/>
  <dcterms:created xsi:type="dcterms:W3CDTF">2024-07-20T11:01:16Z</dcterms:created>
  <dcterms:modified xsi:type="dcterms:W3CDTF">2026-05-07T20:39:03Z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0x010100FF19CECEB0DD0746A1DCC942DC9D207F</vt:lpwstr>
  </property>
  <property fmtid="{D5CDD505-2E9C-101B-9397-08002B2CF9AE}" pid="3" name="MediaServiceImageTags">
    <vt:lpwstr/>
  </property>
</Properties>
</file>